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\MindToDoc\output\"/>
    </mc:Choice>
  </mc:AlternateContent>
  <xr:revisionPtr revIDLastSave="0" documentId="13_ncr:1_{A63B6664-1A56-448F-8909-299C491ADC45}" xr6:coauthVersionLast="47" xr6:coauthVersionMax="47" xr10:uidLastSave="{00000000-0000-0000-0000-000000000000}"/>
  <bookViews>
    <workbookView xWindow="1800" yWindow="915" windowWidth="24060" windowHeight="14370" activeTab="4" xr2:uid="{00000000-000D-0000-FFFF-FFFF00000000}"/>
  </bookViews>
  <sheets>
    <sheet name="总表" sheetId="1" r:id="rId1"/>
    <sheet name="统计总览" sheetId="2" r:id="rId2"/>
    <sheet name="数值策划" sheetId="3" r:id="rId3"/>
    <sheet name="UI" sheetId="4" r:id="rId4"/>
    <sheet name="原画&amp;3D" sheetId="5" r:id="rId5"/>
    <sheet name="客户端" sheetId="6" r:id="rId6"/>
    <sheet name="服务器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7" l="1"/>
  <c r="D16" i="7"/>
  <c r="C16" i="7"/>
  <c r="B16" i="7"/>
  <c r="E16" i="6"/>
  <c r="D16" i="6"/>
  <c r="C16" i="6"/>
  <c r="B16" i="6"/>
  <c r="E11" i="5"/>
  <c r="D11" i="5"/>
  <c r="C11" i="5"/>
  <c r="B11" i="5"/>
  <c r="E12" i="4"/>
  <c r="D12" i="4"/>
  <c r="C12" i="4"/>
  <c r="B12" i="4"/>
  <c r="E16" i="3"/>
  <c r="D16" i="3"/>
  <c r="C16" i="3"/>
  <c r="B16" i="3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B6" i="2"/>
  <c r="B5" i="2"/>
  <c r="B4" i="2"/>
  <c r="B3" i="2"/>
</calcChain>
</file>

<file path=xl/sharedStrings.xml><?xml version="1.0" encoding="utf-8"?>
<sst xmlns="http://schemas.openxmlformats.org/spreadsheetml/2006/main" count="663" uniqueCount="158">
  <si>
    <t>K1 新服大地图重构｜开发 Checklist（精简版）</t>
  </si>
  <si>
    <t>来源：https://alidocs.dingtalk.com/i/nodes/20eMKjyp81R0Ndp0Cej45LkMWxAZB1Gv｜粒度：按模块级可交付成果拆解，不以任务数量为标准</t>
  </si>
  <si>
    <t>任务ID</t>
  </si>
  <si>
    <t>模块</t>
  </si>
  <si>
    <t>任务描述</t>
  </si>
  <si>
    <t>职能</t>
  </si>
  <si>
    <t>优先级</t>
  </si>
  <si>
    <t>备注</t>
  </si>
  <si>
    <t>状态</t>
  </si>
  <si>
    <t>负责人</t>
  </si>
  <si>
    <t>CHK-001</t>
  </si>
  <si>
    <t>配置与公共依赖</t>
  </si>
  <si>
    <t>完成新服大地图配置方案与首版投放数据</t>
  </si>
  <si>
    <t>数值策划</t>
  </si>
  <si>
    <t>P0</t>
  </si>
  <si>
    <t>覆盖：地图基础、堡垒、龙巢、圣坛、迷雾、出生分配、占领规则、联盟科技配置；依赖：主案与配置表结构派生文档；验收：配置项能够完整表达主案规则且未填写主案未定义的最终数值；复用：沿用既有对象与战斗规则引用。</t>
  </si>
  <si>
    <t>未开始</t>
  </si>
  <si>
    <t>CHK-002</t>
  </si>
  <si>
    <t>接入新服地图模板及客户端配置读取与合法性校验</t>
  </si>
  <si>
    <t>客户端</t>
  </si>
  <si>
    <t>覆盖：新旧地图模板选择、地图对象关系、四邻拓扑、迷雾层级和占领参数读取；依赖：CHK-001；验收：新服读取新模板，旧服与KVK继续读取原模板，缺省或非法配置能够拦截或降级。</t>
  </si>
  <si>
    <t>CHK-003</t>
  </si>
  <si>
    <t>接入服务器配置加载、启动校验与模板隔离</t>
  </si>
  <si>
    <t>服务器</t>
  </si>
  <si>
    <t>覆盖：配置加载、外键关系、坐标与四邻关系、迷雾层级、上限和时间参数校验；依赖：CHK-001；验收：错误配置阻止错误模板启用，新旧服务器模板互不污染。</t>
  </si>
  <si>
    <t>CHK-004</t>
  </si>
  <si>
    <t>地图结构与出生分配</t>
  </si>
  <si>
    <t>配置7200×7200方格地图、四出生区及战略点位</t>
  </si>
  <si>
    <t>覆盖：24×24基础格、可用堡垒格、阻挡区、出生区、中心圈与王座区、战略对象坐标；依赖：美术地图尺寸和服务端坐标约束；验收：点位无越界或重叠冲突，四出生区可独立投放。</t>
  </si>
  <si>
    <t>CHK-005</t>
  </si>
  <si>
    <t>设计方格战略地图、缩略地图与联盟染色交互</t>
  </si>
  <si>
    <t>UI</t>
  </si>
  <si>
    <t>P1</t>
  </si>
  <si>
    <t>覆盖：KVK领土界面复用、缩略地图HUD入口、最高LOD自动呼出、联盟颜色区分和战略点信息层级；依赖：地图点位与客户端交互范围；验收：常规地图与缩略地图的入口、缩放和信息层级可交付开发。</t>
  </si>
  <si>
    <t>CHK-006</t>
  </si>
  <si>
    <t>完成新服地图区域、阻挡和缩略地图资源复用清单及缺口资源</t>
  </si>
  <si>
    <t>原画&amp;3D</t>
  </si>
  <si>
    <t>覆盖：四出生区、中间圈、核心圈、中心王座区、特殊阻挡和缩略地图表现；依赖：CHK-004与既有KVK资源；验收：明确可复用资源和必须新增资源，全部缺口资源可被客户端接入。</t>
  </si>
  <si>
    <t>CHK-007</t>
  </si>
  <si>
    <t>实现方格地图展示、四邻关系表现、联盟染色与缩略地图入口</t>
  </si>
  <si>
    <t>覆盖：7200地图、方格边界、上下左右相邻、联盟染色、LOD触发和HUD入口；依赖：CHK-002、CHK-005、CHK-006；验收：地图缩放与缩略地图切换正常，对角格不显示为有效相邻领地。</t>
  </si>
  <si>
    <t>CHK-008</t>
  </si>
  <si>
    <t>实现四出生区分配、地图拓扑与落点服务</t>
  </si>
  <si>
    <t>覆盖：首次进入分配、出生区容量、四邻拓扑、跨出生区加盟迁城和迷雾区域限制；依赖：CHK-003、CHK-004；验收：玩家落点合法且负载可控，出生区不形成阵营限制。</t>
  </si>
  <si>
    <t>CHK-009</t>
  </si>
  <si>
    <t>堡垒占领与联盟领地</t>
  </si>
  <si>
    <t>配置堡垒占领、免战、放弃、上限及管理者限制参数</t>
  </si>
  <si>
    <t>覆盖：占领时间、免战时间、放弃耗时、堡垒上限、剩余数量阈值和KVK期间倍率；依赖：联盟科技等级方案；验收：所有规则均可配置，允许放弃时间配置为0。</t>
  </si>
  <si>
    <t>CHK-010</t>
  </si>
  <si>
    <t>设计堡垒可攻、免战、上限、管理者限制与放弃反馈</t>
  </si>
  <si>
    <t>覆盖：可攻标识、免战状态、剩余数量不足提示、管理者权限提示、放弃进度及二次确认；依赖：堡垒状态机和文案配置；验收：所有可操作、禁用和异常状态均有明确反馈。</t>
  </si>
  <si>
    <t>CHK-011</t>
  </si>
  <si>
    <t>实现堡垒攻击、占领、免战、放弃与联盟领地客户端流程</t>
  </si>
  <si>
    <t>覆盖：首战锚点、相邻可攻、本地资格校验、战斗状态、免战、飞地、放弃和上限提示；依赖：CHK-007、CHK-009、CHK-010及服务器接口；验收：状态展示与服务器结算一致，非法操作有准确提示。</t>
  </si>
  <si>
    <t>CHK-012</t>
  </si>
  <si>
    <t>实现堡垒资格、并发战斗、归属、免战、放弃与上限结算</t>
  </si>
  <si>
    <t>覆盖：永久中立初始堡垒、四邻攻击资格、多联盟并发、起点失去后的结算、飞地、免战遣返、放弃、科技上限和管理者限制；依赖：CHK-003、CHK-009；验收：边界情况表中的堡垒场景均能稳定结算且结果幂等。</t>
  </si>
  <si>
    <t>CHK-013</t>
  </si>
  <si>
    <t>地图对象</t>
  </si>
  <si>
    <t>配置龙巢、圣坛、王座及PVE地图对象投放</t>
  </si>
  <si>
    <t>覆盖：龙巢点位和相邻堡垒、圣坛所属堡垒、王座位置、普通野怪1-50首杀、泰坦分级首杀、黑暗祭祀与恶魔守卫停刷；依赖：CHK-004；验收：对象投放与迷雾层级和堡垒关系一致。</t>
  </si>
  <si>
    <t>CHK-014</t>
  </si>
  <si>
    <t>设计龙巢失效、圣坛归属与战略对象状态展示</t>
  </si>
  <si>
    <t>覆盖：龙巢无归属、生效、失效、可攻击不可防守，圣坛随堡垒归属及王座状态；依赖：既有对象界面；验收：新增状态不与既有龙巢和圣坛信息冲突。</t>
  </si>
  <si>
    <t>CHK-015</t>
  </si>
  <si>
    <t>完成战略对象资源复用清单与龙巢失效表现资源</t>
  </si>
  <si>
    <t>覆盖：堡垒、龙巢、圣坛、王座和PVE对象现有模型复用，补充龙巢失效及必要状态特效；依赖：CHK-014；验收：不新增对象类型，状态差异可被玩家识别。</t>
  </si>
  <si>
    <t>CHK-016</t>
  </si>
  <si>
    <t>实现龙巢、圣坛、王座及PVE对象展示与交互适配</t>
  </si>
  <si>
    <t>覆盖：交叉点龙巢、嵌入堡垒圣坛、龙巢失效/恢复、对象归属刷新、PVE逐级挑战和停刷对象隐藏；依赖：CHK-013至CHK-015及服务器状态；验收：对象位置、状态、交互资格和提示与主案一致。</t>
  </si>
  <si>
    <t>CHK-017</t>
  </si>
  <si>
    <t>实现龙巢、圣坛及PVE对象归属、资格和结算</t>
  </si>
  <si>
    <t>覆盖：龙巢相邻堡垒攻击资格、失效/恢复、失效不可防守、龙巢上限、圣坛随堡垒转移、联盟解散中立化及PVE首杀；依赖：CHK-012、CHK-013；验收：对象状态流转和归属变更可重复执行且无重复奖励。</t>
  </si>
  <si>
    <t>CHK-018</t>
  </si>
  <si>
    <t>迷雾与地图表现</t>
  </si>
  <si>
    <t>配置服务器共享迷雾层级与开放节奏</t>
  </si>
  <si>
    <t>覆盖：出生区D0、中间圈D8、核心圈D15、王座D21及四出生区独立开关；依赖：堡垒和王座层级数据；验收：每个堡垒和王座均归属唯一迷雾层级，首版仅时间驱动。</t>
  </si>
  <si>
    <t>CHK-019</t>
  </si>
  <si>
    <t>设计迷雾覆盖、隐藏信息、解锁刷新与提示表现</t>
  </si>
  <si>
    <t>覆盖：保留对象美术形象、隐藏铭牌和战斗信息、屏蔽点击、开放后的恢复及可选系统提示/红点；依赖：迷雾视觉资源和客户端状态；验收：开放前后信息层级清楚且不会误导可操作性。</t>
  </si>
  <si>
    <t>CHK-020</t>
  </si>
  <si>
    <t>制作或适配方格级迷雾覆盖与开放过渡资源</t>
  </si>
  <si>
    <t>覆盖：堡垒方格和王座区域迷雾、战略对象轮廓可见、开放过渡效果；依赖：CHK-004、CHK-019和既有地图材质；验收：迷雾能够覆盖各层级且不遮蔽战略对象的基础美术形象。</t>
  </si>
  <si>
    <t>CHK-021</t>
  </si>
  <si>
    <t>实现迷雾渲染、数据层隐藏、交互屏蔽与在线解锁刷新</t>
  </si>
  <si>
    <t>覆盖：方格与王座迷雾、铭牌/LOD/归属/类型/战斗状态隐藏、点击和通行前置、本地刷新；依赖：CHK-018至CHK-020及服务器开放状态；验收：在线跨开放时刻无需重登即可恢复展示和交互。</t>
  </si>
  <si>
    <t>CHK-022</t>
  </si>
  <si>
    <t>实现全服迷雾进度、对象信息过滤与移动落点校验</t>
  </si>
  <si>
    <t>覆盖：开服时间累计、分层开放、对象数据层过滤、部队与城堡进入限制、开放事件广播；依赖：CHK-003、CHK-018；验收：全服状态一致，未开放区域无法通过绕过客户端进入。</t>
  </si>
  <si>
    <t>CHK-023</t>
  </si>
  <si>
    <t>联盟系统适配</t>
  </si>
  <si>
    <t>配置联盟堡垒/龙巢上限科技与联盟商店新投放</t>
  </si>
  <si>
    <t>覆盖：堡垒和龙巢数量上限科技分支、各等级上限、橙色英雄等高价值商店内容；依赖：联盟科技和商店既有配置结构；验收：科技效果可被服务器读取，商店投放不影响旧服模板。</t>
  </si>
  <si>
    <t>CHK-024</t>
  </si>
  <si>
    <t>设计联盟领地列表、科技、商店及旧建筑入口关闭适配</t>
  </si>
  <si>
    <t>覆盖：堡垒列表、龙巢列表、领地范围、科技节点、商店内容、方尖碑/中心堡垒/远征堡垒入口关闭状态；依赖：既有联盟界面；验收：新服无旧建筑空入口和空跳转，旧服界面保持不变。</t>
  </si>
  <si>
    <t>CHK-025</t>
  </si>
  <si>
    <t>完成联盟科技节点和商店投放所需图标资源</t>
  </si>
  <si>
    <t>覆盖：堡垒上限、龙巢上限科技图标及新增商店物品缺口；依赖：CHK-023、CHK-024；验收：优先复用现有资源，仅交付确认缺失的图标和状态图。</t>
  </si>
  <si>
    <t>CHK-026</t>
  </si>
  <si>
    <t>实现联盟领地、列表、迁城、科技、商店与旧入口客户端适配</t>
  </si>
  <si>
    <t>覆盖：普通堡垒领地判定、堡垒/龙巢列表、领土保护展示、领地内迁城、上限科技、商店、旧入口及红点关闭；依赖：CHK-011、CHK-016、CHK-023至CHK-025；验收：新服流程闭环且旧服主干能力不受影响。</t>
  </si>
  <si>
    <t>CHK-027</t>
  </si>
  <si>
    <t>实现联盟领土保护、迁城、解散、科技上限与商店服务器适配</t>
  </si>
  <si>
    <t>覆盖：普通堡垒范围领土保护、迁城落点、解散中立化、堡垒/龙巢上限、商店投放和旧建筑逻辑隔离；依赖：CHK-012、CHK-017、CHK-023；验收：联盟主干能力保持不变，新服不再依赖方尖碑和旧堡垒建造链路。</t>
  </si>
  <si>
    <t>CHK-028</t>
  </si>
  <si>
    <t>KVK往返与兼容</t>
  </si>
  <si>
    <t>配置KVK期间原服占领耗时倍率与模板适用范围</t>
  </si>
  <si>
    <t>覆盖：普通堡垒和龙巢占领耗时固定倍率、新服模板范围；依赖：既有KVK时间参数；验收：倍率可独立调整，报名、进入、联盟冻结和回归规则不被改写。</t>
  </si>
  <si>
    <t>CHK-029</t>
  </si>
  <si>
    <t>适配原服与KVK场景往返及原服状态展示</t>
  </si>
  <si>
    <t>覆盖：进入KVK、返回原服、堡垒/龙巢/圣坛/王座归属回显、迷雾进度刷新；依赖：既有KVK场景切换与服务器状态；验收：往返不触发错误重置，返回后展示服务器最新原服状态。</t>
  </si>
  <si>
    <t>CHK-030</t>
  </si>
  <si>
    <t>保证KVK期间原服地图持续运行及往返数据一致</t>
  </si>
  <si>
    <t>覆盖：原服归属保留、争夺持续、迷雾继续开放、占领耗时倍率、联盟冻结保持现状、KVK结束不重置；依赖：CHK-012、CHK-017、CHK-022、CHK-028；验收：进入和回归两个方向数据一致，无重复结算或归属回滚。</t>
  </si>
  <si>
    <t>CHK-031</t>
  </si>
  <si>
    <t>任务活动排行与引导替换</t>
  </si>
  <si>
    <t>完成旧地图目标盘点、替换映射及文案配置</t>
  </si>
  <si>
    <t>覆盖：主线、联盟任务、成就、最强领主、联盟排行、王座战、PVE、引导、红点与多语言；依赖：主案计数替换表；验收：新服不再投放方尖碑、旧堡垒建造和连接龙巢目标，取消项不被替换成无效任务。</t>
  </si>
  <si>
    <t>CHK-033</t>
  </si>
  <si>
    <t>更新新手引导图片、任务图标与活动表现缺口资源</t>
  </si>
  <si>
    <t>覆盖：方尖碑、旧堡垒和连接龙巢相关旧图替换，新堡垒、龙巢交叉点、迷雾和王座路径示意；依赖：CHK-032；验收：只替换新服实际出现的旧概念资源，复用可用的现有图标。</t>
  </si>
  <si>
    <t>CHK-034</t>
  </si>
  <si>
    <t>实现任务、活动、排行、引导、红点与多语言客户端替换</t>
  </si>
  <si>
    <t>覆盖：新计数展示、规则说明、跳转目标、引导步骤、可攻/迷雾/王座红点及旧红点关闭；依赖：CHK-031至CHK-033和服务器事件；验收：新服无旧概念残留或空跳转，多语言占位符数量和顺序正确。</t>
  </si>
  <si>
    <t>CHK-035</t>
  </si>
  <si>
    <t>实现新地图任务事件、成就计数、活动统计与排行口径</t>
  </si>
  <si>
    <t>覆盖：堡垒、龙巢、圣坛、王座、领地方格和战斗事件，旧目标投放拦截及已投放热更处理；依赖：CHK-012、CHK-017、CHK-031；验收：计数不重不漏，取消目标不再推进，排行口径与客户端一致。</t>
  </si>
  <si>
    <t>CHK-036</t>
  </si>
  <si>
    <t>数据兼容与版本隔离</t>
  </si>
  <si>
    <t>制定新服模板投放、最低版本、热更重算与回滚配置方案</t>
  </si>
  <si>
    <t>覆盖：仅新开服务器启用、最低客户端版本、地图对象/任务/活动/排行热更、已完成奖励不回收；依赖：发行与研发版本策略；验收：投放条件和回滚边界清晰，旧服不会误启用新模板。</t>
  </si>
  <si>
    <t>CHK-038</t>
  </si>
  <si>
    <t>实现客户端版本拦截、默认值兼容与模板隔离</t>
  </si>
  <si>
    <t>覆盖：最低版本检查、未知字段/通知容错、新旧地图模板隔离、热更刷新和跨场景回归；依赖：CHK-002、CHK-036、CHK-037；验收：低版本不能进入新地图，旧服与KVK功能无回归，新字段缺省不崩溃。</t>
  </si>
  <si>
    <t>CHK-039</t>
  </si>
  <si>
    <t>实现服务器模板隔离、数据默认、幂等、热更重算与转服兼容</t>
  </si>
  <si>
    <t>覆盖：新旧服模板隔离、共享实体新增字段默认值、重复请求、热更重算、进行中状态、转服复用现有流程和跨场景数据；依赖：全部服务器主流程任务；验收：线上真实数据回归通过，旧服/KVK不受影响，转入后按目标服模板运行。</t>
  </si>
  <si>
    <t>统计总览</t>
  </si>
  <si>
    <t>全部任务</t>
  </si>
  <si>
    <t>P2</t>
  </si>
  <si>
    <t>全部</t>
  </si>
  <si>
    <t>使用说明：总表中的“状态”和“负责人”可编辑；统计总览与各职能分表的任务分布由公式或生成数据保持一致。精简版用于早期排期，不替代详细技术任务和测试用例拆解。</t>
  </si>
  <si>
    <t>数值策划｜开发任务</t>
  </si>
  <si>
    <t>精简版模块级交付物｜共 9 项｜来源：https://alidocs.dingtalk.com/i/nodes/20eMKjyp81R0Ndp0Cej45LkMWxAZB1Gv</t>
  </si>
  <si>
    <t>任务统计</t>
  </si>
  <si>
    <t>UI｜开发任务</t>
  </si>
  <si>
    <t>精简版模块级交付物｜共 7 项｜来源：https://alidocs.dingtalk.com/i/nodes/20eMKjyp81R0Ndp0Cej45LkMWxAZB1Gv</t>
  </si>
  <si>
    <t>原画&amp;3D｜开发任务</t>
  </si>
  <si>
    <t>精简版模块级交付物｜共 5 项｜来源：https://alidocs.dingtalk.com/i/nodes/20eMKjyp81R0Ndp0Cej45LkMWxAZB1Gv</t>
  </si>
  <si>
    <t>客户端｜开发任务</t>
  </si>
  <si>
    <t>服务器｜开发任务</t>
  </si>
  <si>
    <t>地图结构</t>
    <phoneticPr fontId="8" type="noConversion"/>
  </si>
  <si>
    <t>设计联盟领地列表、科技</t>
    <phoneticPr fontId="8" type="noConversion"/>
  </si>
  <si>
    <r>
      <rPr>
        <sz val="11"/>
        <rFont val="微软雅黑"/>
        <family val="2"/>
        <charset val="134"/>
      </rPr>
      <t>覆盖：堡垒列表、科技节点、方尖碑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中心堡垒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远征堡垒移除；依赖：既有联盟界面；验收：新服无旧建筑空入口和空跳转，旧服界面保持不变。</t>
    </r>
    <phoneticPr fontId="8" type="noConversion"/>
  </si>
  <si>
    <r>
      <rPr>
        <sz val="11"/>
        <rFont val="微软雅黑"/>
        <family val="2"/>
        <charset val="134"/>
      </rPr>
      <t>覆盖：保留对象美术形象、隐藏铭牌和战斗信息、屏蔽点击、开放后的恢复及可选系统提示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红点；依赖：迷雾视觉资源和客户端状态；验收：开放前后信息层级清楚且不会误导可操作性。</t>
    </r>
    <phoneticPr fontId="8" type="noConversion"/>
  </si>
  <si>
    <t>覆盖：龙巢无归属、生效、失效、可攻击不可防守，圣坛随堡垒归属及王座状态；依赖：既有对象界面；验收：新增状态不与既有龙巢和圣坛信息冲突。</t>
    <phoneticPr fontId="8" type="noConversion"/>
  </si>
  <si>
    <r>
      <rPr>
        <sz val="11"/>
        <rFont val="微软雅黑"/>
        <family val="2"/>
        <charset val="134"/>
      </rPr>
      <t>覆盖：</t>
    </r>
    <r>
      <rPr>
        <sz val="11"/>
        <rFont val="Arial"/>
        <family val="2"/>
      </rPr>
      <t>KVK</t>
    </r>
    <r>
      <rPr>
        <sz val="11"/>
        <rFont val="微软雅黑"/>
        <family val="2"/>
        <charset val="134"/>
      </rPr>
      <t>领土界面复用、缩略地图</t>
    </r>
    <r>
      <rPr>
        <sz val="11"/>
        <rFont val="Arial"/>
        <family val="2"/>
      </rPr>
      <t>HUD</t>
    </r>
    <r>
      <rPr>
        <sz val="11"/>
        <rFont val="微软雅黑"/>
        <family val="2"/>
        <charset val="134"/>
      </rPr>
      <t>入口、最高</t>
    </r>
    <r>
      <rPr>
        <sz val="11"/>
        <rFont val="Arial"/>
        <family val="2"/>
      </rPr>
      <t>LOD</t>
    </r>
    <r>
      <rPr>
        <sz val="11"/>
        <rFont val="微软雅黑"/>
        <family val="2"/>
        <charset val="134"/>
      </rPr>
      <t>自动呼出、联盟颜色区分和战略点信息层级；依赖：地图点位与客户端交互范围；验收：常规地图与缩略地图的入口、缩放和信息层级可交付开发。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</si>
</sst>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6"/>
      <color rgb="FFFFFFFF"/>
      <name val="Carlito"/>
    </font>
    <font>
      <i/>
      <sz val="11"/>
      <color rgb="FF24445F"/>
      <name val="Carlito"/>
    </font>
    <font>
      <b/>
      <sz val="11"/>
      <color rgb="FFFFFFFF"/>
      <name val="Carlito"/>
    </font>
    <font>
      <b/>
      <sz val="11"/>
      <color rgb="FF24445F"/>
      <name val="Carlito"/>
    </font>
    <font>
      <b/>
      <sz val="14"/>
      <color rgb="FF17365D"/>
      <name val="Carlito"/>
    </font>
    <font>
      <sz val="11"/>
      <color rgb="FF7A4E00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24445F"/>
      <name val="微软雅黑"/>
      <family val="2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EEF6F1"/>
      </patternFill>
    </fill>
    <fill>
      <patternFill patternType="solid">
        <fgColor rgb="FFE2F0D9"/>
      </patternFill>
    </fill>
    <fill>
      <patternFill patternType="solid">
        <fgColor rgb="FFFCE4EC"/>
      </patternFill>
    </fill>
    <fill>
      <patternFill patternType="solid">
        <fgColor rgb="FFF7F2E8"/>
      </patternFill>
    </fill>
    <fill>
      <patternFill patternType="solid">
        <fgColor rgb="FFF4EEF8"/>
      </patternFill>
    </fill>
    <fill>
      <patternFill patternType="solid">
        <fgColor rgb="FFF7FAFC"/>
      </patternFill>
    </fill>
    <fill>
      <patternFill patternType="solid">
        <fgColor rgb="FFFFF7E6"/>
      </patternFill>
    </fill>
  </fills>
  <borders count="12">
    <border>
      <left/>
      <right/>
      <top/>
      <bottom/>
      <diagonal/>
    </border>
    <border>
      <left style="thin">
        <color rgb="FFC9D5E3"/>
      </left>
      <right style="thin">
        <color rgb="FFC9D5E3"/>
      </right>
      <top style="thin">
        <color rgb="FFC9D5E3"/>
      </top>
      <bottom style="thin">
        <color rgb="FFC9D5E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medium">
        <color rgb="FF7F9DB9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B566"/>
      </left>
      <right/>
      <top style="thin">
        <color rgb="FFE6B566"/>
      </top>
      <bottom/>
      <diagonal/>
    </border>
    <border>
      <left/>
      <right/>
      <top style="thin">
        <color rgb="FFE6B566"/>
      </top>
      <bottom/>
      <diagonal/>
    </border>
    <border>
      <left/>
      <right style="thin">
        <color rgb="FFE6B566"/>
      </right>
      <top style="thin">
        <color rgb="FFE6B566"/>
      </top>
      <bottom/>
      <diagonal/>
    </border>
    <border>
      <left style="thin">
        <color rgb="FFE6B566"/>
      </left>
      <right/>
      <top/>
      <bottom style="thin">
        <color rgb="FFE6B566"/>
      </bottom>
      <diagonal/>
    </border>
    <border>
      <left/>
      <right/>
      <top/>
      <bottom style="thin">
        <color rgb="FFE6B566"/>
      </bottom>
      <diagonal/>
    </border>
    <border>
      <left/>
      <right style="thin">
        <color rgb="FFE6B566"/>
      </right>
      <top/>
      <bottom style="thin">
        <color rgb="FFE6B566"/>
      </bottom>
      <diagonal/>
    </border>
  </borders>
  <cellStyleXfs count="2">
    <xf numFmtId="0" fontId="0" fillId="0" borderId="0"/>
    <xf numFmtId="0" fontId="7" fillId="0" borderId="0"/>
  </cellStyleXfs>
  <cellXfs count="53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top" wrapText="1"/>
    </xf>
    <xf numFmtId="0" fontId="0" fillId="5" borderId="3" xfId="1" applyFont="1" applyFill="1" applyBorder="1" applyAlignment="1">
      <alignment vertical="top" wrapText="1"/>
    </xf>
    <xf numFmtId="0" fontId="4" fillId="5" borderId="3" xfId="1" applyFont="1" applyFill="1" applyBorder="1" applyAlignment="1">
      <alignment vertical="top" wrapText="1"/>
    </xf>
    <xf numFmtId="0" fontId="0" fillId="9" borderId="3" xfId="1" applyFont="1" applyFill="1" applyBorder="1" applyAlignment="1">
      <alignment vertical="top" wrapText="1"/>
    </xf>
    <xf numFmtId="0" fontId="4" fillId="9" borderId="3" xfId="1" applyFont="1" applyFill="1" applyBorder="1" applyAlignment="1">
      <alignment vertical="top" wrapText="1"/>
    </xf>
    <xf numFmtId="0" fontId="0" fillId="12" borderId="3" xfId="1" applyFont="1" applyFill="1" applyBorder="1" applyAlignment="1">
      <alignment vertical="top" wrapText="1"/>
    </xf>
    <xf numFmtId="0" fontId="4" fillId="12" borderId="3" xfId="1" applyFont="1" applyFill="1" applyBorder="1" applyAlignment="1">
      <alignment vertical="top" wrapText="1"/>
    </xf>
    <xf numFmtId="0" fontId="0" fillId="13" borderId="3" xfId="1" applyFont="1" applyFill="1" applyBorder="1" applyAlignment="1">
      <alignment vertical="top" wrapText="1"/>
    </xf>
    <xf numFmtId="0" fontId="4" fillId="13" borderId="3" xfId="1" applyFont="1" applyFill="1" applyBorder="1" applyAlignment="1">
      <alignment vertical="top" wrapText="1"/>
    </xf>
    <xf numFmtId="0" fontId="0" fillId="5" borderId="3" xfId="1" applyFont="1" applyFill="1" applyBorder="1" applyAlignment="1">
      <alignment horizontal="center" vertical="top" wrapText="1"/>
    </xf>
    <xf numFmtId="0" fontId="0" fillId="0" borderId="2" xfId="1" applyFont="1" applyBorder="1" applyAlignment="1">
      <alignment horizontal="center" vertical="top" wrapText="1"/>
    </xf>
    <xf numFmtId="0" fontId="0" fillId="9" borderId="3" xfId="1" applyFont="1" applyFill="1" applyBorder="1" applyAlignment="1">
      <alignment horizontal="center" vertical="top" wrapText="1"/>
    </xf>
    <xf numFmtId="0" fontId="0" fillId="12" borderId="3" xfId="1" applyFont="1" applyFill="1" applyBorder="1" applyAlignment="1">
      <alignment horizontal="center" vertical="top" wrapText="1"/>
    </xf>
    <xf numFmtId="0" fontId="0" fillId="13" borderId="3" xfId="1" applyFont="1" applyFill="1" applyBorder="1" applyAlignment="1">
      <alignment horizontal="center" vertical="top" wrapText="1"/>
    </xf>
    <xf numFmtId="0" fontId="0" fillId="6" borderId="3" xfId="1" applyFont="1" applyFill="1" applyBorder="1" applyAlignment="1">
      <alignment horizontal="center" vertical="top" wrapText="1"/>
    </xf>
    <xf numFmtId="0" fontId="0" fillId="7" borderId="2" xfId="1" applyFont="1" applyFill="1" applyBorder="1" applyAlignment="1">
      <alignment horizontal="center" vertical="top" wrapText="1"/>
    </xf>
    <xf numFmtId="0" fontId="0" fillId="8" borderId="2" xfId="1" applyFont="1" applyFill="1" applyBorder="1" applyAlignment="1">
      <alignment horizontal="center" vertical="top" wrapText="1"/>
    </xf>
    <xf numFmtId="0" fontId="0" fillId="10" borderId="2" xfId="1" applyFont="1" applyFill="1" applyBorder="1" applyAlignment="1">
      <alignment horizontal="center" vertical="top" wrapText="1"/>
    </xf>
    <xf numFmtId="0" fontId="0" fillId="11" borderId="2" xfId="1" applyFont="1" applyFill="1" applyBorder="1" applyAlignment="1">
      <alignment horizontal="center" vertical="top" wrapText="1"/>
    </xf>
    <xf numFmtId="0" fontId="4" fillId="3" borderId="4" xfId="1" applyFont="1" applyFill="1" applyBorder="1" applyAlignment="1">
      <alignment vertical="center"/>
    </xf>
    <xf numFmtId="0" fontId="5" fillId="14" borderId="4" xfId="1" applyFont="1" applyFill="1" applyBorder="1" applyAlignment="1">
      <alignment horizontal="center" vertical="center"/>
    </xf>
    <xf numFmtId="0" fontId="0" fillId="6" borderId="5" xfId="1" applyFont="1" applyFill="1" applyBorder="1"/>
    <xf numFmtId="0" fontId="0" fillId="10" borderId="5" xfId="1" applyFont="1" applyFill="1" applyBorder="1"/>
    <xf numFmtId="0" fontId="0" fillId="11" borderId="5" xfId="1" applyFont="1" applyFill="1" applyBorder="1"/>
    <xf numFmtId="0" fontId="0" fillId="7" borderId="5" xfId="1" applyFont="1" applyFill="1" applyBorder="1"/>
    <xf numFmtId="0" fontId="0" fillId="8" borderId="5" xfId="1" applyFont="1" applyFill="1" applyBorder="1"/>
    <xf numFmtId="0" fontId="0" fillId="6" borderId="5" xfId="1" applyFont="1" applyFill="1" applyBorder="1" applyAlignment="1">
      <alignment vertical="center"/>
    </xf>
    <xf numFmtId="0" fontId="0" fillId="10" borderId="5" xfId="1" applyFont="1" applyFill="1" applyBorder="1" applyAlignment="1">
      <alignment vertical="center"/>
    </xf>
    <xf numFmtId="0" fontId="0" fillId="11" borderId="5" xfId="1" applyFont="1" applyFill="1" applyBorder="1" applyAlignment="1">
      <alignment vertical="center"/>
    </xf>
    <xf numFmtId="0" fontId="0" fillId="7" borderId="5" xfId="1" applyFont="1" applyFill="1" applyBorder="1" applyAlignment="1">
      <alignment vertical="center"/>
    </xf>
    <xf numFmtId="0" fontId="0" fillId="8" borderId="5" xfId="1" applyFont="1" applyFill="1" applyBorder="1" applyAlignment="1">
      <alignment vertical="center"/>
    </xf>
    <xf numFmtId="0" fontId="0" fillId="0" borderId="5" xfId="1" applyFont="1" applyBorder="1" applyAlignment="1">
      <alignment horizontal="center" vertical="center"/>
    </xf>
    <xf numFmtId="0" fontId="0" fillId="0" borderId="5" xfId="1" applyFont="1" applyBorder="1" applyAlignment="1">
      <alignment horizontal="center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/>
    </xf>
    <xf numFmtId="0" fontId="6" fillId="15" borderId="6" xfId="1" applyFont="1" applyFill="1" applyBorder="1" applyAlignment="1">
      <alignment vertical="top" wrapText="1"/>
    </xf>
    <xf numFmtId="0" fontId="6" fillId="15" borderId="7" xfId="1" applyFont="1" applyFill="1" applyBorder="1" applyAlignment="1">
      <alignment vertical="top" wrapText="1"/>
    </xf>
    <xf numFmtId="0" fontId="6" fillId="15" borderId="8" xfId="1" applyFont="1" applyFill="1" applyBorder="1" applyAlignment="1">
      <alignment vertical="top" wrapText="1"/>
    </xf>
    <xf numFmtId="0" fontId="6" fillId="15" borderId="9" xfId="1" applyFont="1" applyFill="1" applyBorder="1" applyAlignment="1">
      <alignment vertical="top" wrapText="1"/>
    </xf>
    <xf numFmtId="0" fontId="6" fillId="15" borderId="10" xfId="1" applyFont="1" applyFill="1" applyBorder="1" applyAlignment="1">
      <alignment vertical="top" wrapText="1"/>
    </xf>
    <xf numFmtId="0" fontId="6" fillId="15" borderId="11" xfId="1" applyFont="1" applyFill="1" applyBorder="1" applyAlignment="1">
      <alignment vertical="top" wrapText="1"/>
    </xf>
    <xf numFmtId="0" fontId="2" fillId="6" borderId="0" xfId="1" applyFont="1" applyFill="1" applyAlignment="1">
      <alignment vertical="center"/>
    </xf>
    <xf numFmtId="0" fontId="2" fillId="10" borderId="0" xfId="1" applyFont="1" applyFill="1" applyAlignment="1">
      <alignment vertical="center"/>
    </xf>
    <xf numFmtId="0" fontId="2" fillId="11" borderId="0" xfId="1" applyFont="1" applyFill="1" applyAlignment="1">
      <alignment vertical="center"/>
    </xf>
    <xf numFmtId="0" fontId="2" fillId="7" borderId="0" xfId="1" applyFont="1" applyFill="1" applyAlignment="1">
      <alignment vertical="center"/>
    </xf>
    <xf numFmtId="0" fontId="2" fillId="8" borderId="0" xfId="1" applyFont="1" applyFill="1" applyAlignment="1">
      <alignment vertical="center"/>
    </xf>
    <xf numFmtId="0" fontId="9" fillId="5" borderId="3" xfId="1" applyFont="1" applyFill="1" applyBorder="1" applyAlignment="1">
      <alignment vertical="top" wrapText="1"/>
    </xf>
    <xf numFmtId="0" fontId="10" fillId="5" borderId="3" xfId="1" applyFont="1" applyFill="1" applyBorder="1" applyAlignment="1">
      <alignment vertical="top" wrapText="1"/>
    </xf>
    <xf numFmtId="0" fontId="12" fillId="5" borderId="3" xfId="1" applyFont="1" applyFill="1" applyBorder="1" applyAlignment="1">
      <alignment vertical="top" wrapText="1"/>
    </xf>
    <xf numFmtId="0" fontId="12" fillId="13" borderId="3" xfId="1" applyFont="1" applyFill="1" applyBorder="1" applyAlignment="1">
      <alignment vertical="top" wrapText="1"/>
    </xf>
    <xf numFmtId="0" fontId="10" fillId="12" borderId="3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42"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0369A1"/>
      </font>
      <fill>
        <patternFill patternType="solid">
          <bgColor rgb="FFE0F2FE"/>
        </patternFill>
      </fill>
    </dxf>
    <dxf>
      <font>
        <b/>
        <color rgb="FF475467"/>
      </font>
      <fill>
        <patternFill patternType="solid">
          <bgColor rgb="FFF2F4F7"/>
        </patternFill>
      </fill>
    </dxf>
    <dxf>
      <font>
        <b/>
        <color rgb="FF475569"/>
      </font>
      <fill>
        <patternFill patternType="solid">
          <bgColor rgb="FFE8EEF7"/>
        </patternFill>
      </fill>
    </dxf>
    <dxf>
      <font>
        <b/>
        <color rgb="FF9A6700"/>
      </font>
      <fill>
        <patternFill patternType="solid">
          <bgColor rgb="FFFFF1CC"/>
        </patternFill>
      </fill>
    </dxf>
    <dxf>
      <font>
        <b/>
        <color rgb="FFB91C1C"/>
      </font>
      <fill>
        <patternFill patternType="solid">
          <bgColor rgb="FFFD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0369A1"/>
      </font>
      <fill>
        <patternFill patternType="solid">
          <bgColor rgb="FFE0F2FE"/>
        </patternFill>
      </fill>
    </dxf>
    <dxf>
      <font>
        <b/>
        <color rgb="FF475467"/>
      </font>
      <fill>
        <patternFill patternType="solid">
          <bgColor rgb="FFF2F4F7"/>
        </patternFill>
      </fill>
    </dxf>
    <dxf>
      <font>
        <b/>
        <color rgb="FF475569"/>
      </font>
      <fill>
        <patternFill patternType="solid">
          <bgColor rgb="FFE8EEF7"/>
        </patternFill>
      </fill>
    </dxf>
    <dxf>
      <font>
        <b/>
        <color rgb="FF9A6700"/>
      </font>
      <fill>
        <patternFill patternType="solid">
          <bgColor rgb="FFFFF1CC"/>
        </patternFill>
      </fill>
    </dxf>
    <dxf>
      <font>
        <b/>
        <color rgb="FFB91C1C"/>
      </font>
      <fill>
        <patternFill patternType="solid">
          <bgColor rgb="FFFD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0369A1"/>
      </font>
      <fill>
        <patternFill patternType="solid">
          <bgColor rgb="FFE0F2FE"/>
        </patternFill>
      </fill>
    </dxf>
    <dxf>
      <font>
        <b/>
        <color rgb="FF475467"/>
      </font>
      <fill>
        <patternFill patternType="solid">
          <bgColor rgb="FFF2F4F7"/>
        </patternFill>
      </fill>
    </dxf>
    <dxf>
      <font>
        <b/>
        <color rgb="FF475569"/>
      </font>
      <fill>
        <patternFill patternType="solid">
          <bgColor rgb="FFE8EEF7"/>
        </patternFill>
      </fill>
    </dxf>
    <dxf>
      <font>
        <b/>
        <color rgb="FF9A6700"/>
      </font>
      <fill>
        <patternFill patternType="solid">
          <bgColor rgb="FFFFF1CC"/>
        </patternFill>
      </fill>
    </dxf>
    <dxf>
      <font>
        <b/>
        <color rgb="FFB91C1C"/>
      </font>
      <fill>
        <patternFill patternType="solid">
          <bgColor rgb="FFFD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0369A1"/>
      </font>
      <fill>
        <patternFill patternType="solid">
          <bgColor rgb="FFE0F2FE"/>
        </patternFill>
      </fill>
    </dxf>
    <dxf>
      <font>
        <b/>
        <color rgb="FF475467"/>
      </font>
      <fill>
        <patternFill patternType="solid">
          <bgColor rgb="FFF2F4F7"/>
        </patternFill>
      </fill>
    </dxf>
    <dxf>
      <font>
        <b/>
        <color rgb="FF475569"/>
      </font>
      <fill>
        <patternFill patternType="solid">
          <bgColor rgb="FFE8EEF7"/>
        </patternFill>
      </fill>
    </dxf>
    <dxf>
      <font>
        <b/>
        <color rgb="FF9A6700"/>
      </font>
      <fill>
        <patternFill patternType="solid">
          <bgColor rgb="FFFFF1CC"/>
        </patternFill>
      </fill>
    </dxf>
    <dxf>
      <font>
        <b/>
        <color rgb="FFB91C1C"/>
      </font>
      <fill>
        <patternFill patternType="solid">
          <bgColor rgb="FFFD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0369A1"/>
      </font>
      <fill>
        <patternFill patternType="solid">
          <bgColor rgb="FFE0F2FE"/>
        </patternFill>
      </fill>
    </dxf>
    <dxf>
      <font>
        <b/>
        <color rgb="FF475467"/>
      </font>
      <fill>
        <patternFill patternType="solid">
          <bgColor rgb="FFF2F4F7"/>
        </patternFill>
      </fill>
    </dxf>
    <dxf>
      <font>
        <b/>
        <color rgb="FF475569"/>
      </font>
      <fill>
        <patternFill patternType="solid">
          <bgColor rgb="FFE8EEF7"/>
        </patternFill>
      </fill>
    </dxf>
    <dxf>
      <font>
        <b/>
        <color rgb="FF9A6700"/>
      </font>
      <fill>
        <patternFill patternType="solid">
          <bgColor rgb="FFFFF1CC"/>
        </patternFill>
      </fill>
    </dxf>
    <dxf>
      <font>
        <b/>
        <color rgb="FFB91C1C"/>
      </font>
      <fill>
        <patternFill patternType="solid">
          <bgColor rgb="FFFD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0369A1"/>
      </font>
      <fill>
        <patternFill patternType="solid">
          <bgColor rgb="FFE0F2FE"/>
        </patternFill>
      </fill>
    </dxf>
    <dxf>
      <font>
        <b/>
        <color rgb="FF475467"/>
      </font>
      <fill>
        <patternFill patternType="solid">
          <bgColor rgb="FFF2F4F7"/>
        </patternFill>
      </fill>
    </dxf>
    <dxf>
      <font>
        <b/>
        <color rgb="FF475569"/>
      </font>
      <fill>
        <patternFill patternType="solid">
          <bgColor rgb="FFE8EEF7"/>
        </patternFill>
      </fill>
    </dxf>
    <dxf>
      <font>
        <b/>
        <color rgb="FF9A6700"/>
      </font>
      <fill>
        <patternFill patternType="solid">
          <bgColor rgb="FFFFF1CC"/>
        </patternFill>
      </fill>
    </dxf>
    <dxf>
      <font>
        <b/>
        <color rgb="FFB91C1C"/>
      </font>
      <fill>
        <patternFill patternType="solid"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Table" displayName="TasksTable" ref="A4:H41" totalsRowShown="0">
  <tableColumns count="8">
    <tableColumn id="1" xr3:uid="{00000000-0010-0000-0000-000001000000}" name="任务ID"/>
    <tableColumn id="2" xr3:uid="{00000000-0010-0000-0000-000002000000}" name="模块"/>
    <tableColumn id="3" xr3:uid="{00000000-0010-0000-0000-000003000000}" name="任务描述"/>
    <tableColumn id="4" xr3:uid="{00000000-0010-0000-0000-000004000000}" name="职能"/>
    <tableColumn id="5" xr3:uid="{00000000-0010-0000-0000-000005000000}" name="优先级"/>
    <tableColumn id="6" xr3:uid="{00000000-0010-0000-0000-000006000000}" name="备注"/>
    <tableColumn id="7" xr3:uid="{00000000-0010-0000-0000-000007000000}" name="状态"/>
    <tableColumn id="8" xr3:uid="{00000000-0010-0000-0000-000008000000}" name="负责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umericTasksTable" displayName="NumericTasksTable" ref="A4:G13" totalsRowShown="0">
  <tableColumns count="7">
    <tableColumn id="1" xr3:uid="{00000000-0010-0000-0100-000001000000}" name="任务ID"/>
    <tableColumn id="2" xr3:uid="{00000000-0010-0000-0100-000002000000}" name="模块"/>
    <tableColumn id="3" xr3:uid="{00000000-0010-0000-0100-000003000000}" name="任务描述"/>
    <tableColumn id="4" xr3:uid="{00000000-0010-0000-0100-000004000000}" name="优先级"/>
    <tableColumn id="5" xr3:uid="{00000000-0010-0000-0100-000005000000}" name="备注"/>
    <tableColumn id="6" xr3:uid="{00000000-0010-0000-0100-000006000000}" name="状态"/>
    <tableColumn id="7" xr3:uid="{00000000-0010-0000-0100-000007000000}" name="负责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ITasksTable" displayName="UITasksTable" ref="A4:G9" totalsRowShown="0">
  <tableColumns count="7">
    <tableColumn id="1" xr3:uid="{00000000-0010-0000-0200-000001000000}" name="任务ID"/>
    <tableColumn id="2" xr3:uid="{00000000-0010-0000-0200-000002000000}" name="模块"/>
    <tableColumn id="3" xr3:uid="{00000000-0010-0000-0200-000003000000}" name="任务描述"/>
    <tableColumn id="4" xr3:uid="{00000000-0010-0000-0200-000004000000}" name="优先级"/>
    <tableColumn id="5" xr3:uid="{00000000-0010-0000-0200-000005000000}" name="备注"/>
    <tableColumn id="6" xr3:uid="{00000000-0010-0000-0200-000006000000}" name="状态"/>
    <tableColumn id="7" xr3:uid="{00000000-0010-0000-0200-000007000000}" name="负责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rtTasksTable" displayName="ArtTasksTable" ref="A4:G8" totalsRowShown="0">
  <tableColumns count="7">
    <tableColumn id="1" xr3:uid="{00000000-0010-0000-0300-000001000000}" name="任务ID"/>
    <tableColumn id="2" xr3:uid="{00000000-0010-0000-0300-000002000000}" name="模块"/>
    <tableColumn id="3" xr3:uid="{00000000-0010-0000-0300-000003000000}" name="任务描述"/>
    <tableColumn id="4" xr3:uid="{00000000-0010-0000-0300-000004000000}" name="优先级"/>
    <tableColumn id="5" xr3:uid="{00000000-0010-0000-0300-000005000000}" name="备注"/>
    <tableColumn id="6" xr3:uid="{00000000-0010-0000-0300-000006000000}" name="状态"/>
    <tableColumn id="7" xr3:uid="{00000000-0010-0000-0300-000007000000}" name="负责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lientTasksTable" displayName="ClientTasksTable" ref="A4:G13" totalsRowShown="0">
  <tableColumns count="7">
    <tableColumn id="1" xr3:uid="{00000000-0010-0000-0400-000001000000}" name="任务ID"/>
    <tableColumn id="2" xr3:uid="{00000000-0010-0000-0400-000002000000}" name="模块"/>
    <tableColumn id="3" xr3:uid="{00000000-0010-0000-0400-000003000000}" name="任务描述"/>
    <tableColumn id="4" xr3:uid="{00000000-0010-0000-0400-000004000000}" name="优先级"/>
    <tableColumn id="5" xr3:uid="{00000000-0010-0000-0400-000005000000}" name="备注"/>
    <tableColumn id="6" xr3:uid="{00000000-0010-0000-0400-000006000000}" name="状态"/>
    <tableColumn id="7" xr3:uid="{00000000-0010-0000-0400-000007000000}" name="负责人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rverTasksTable" displayName="ServerTasksTable" ref="A4:G13" totalsRowShown="0">
  <tableColumns count="7">
    <tableColumn id="1" xr3:uid="{00000000-0010-0000-0500-000001000000}" name="任务ID"/>
    <tableColumn id="2" xr3:uid="{00000000-0010-0000-0500-000002000000}" name="模块"/>
    <tableColumn id="3" xr3:uid="{00000000-0010-0000-0500-000003000000}" name="任务描述"/>
    <tableColumn id="4" xr3:uid="{00000000-0010-0000-0500-000004000000}" name="优先级"/>
    <tableColumn id="5" xr3:uid="{00000000-0010-0000-0500-000005000000}" name="备注"/>
    <tableColumn id="6" xr3:uid="{00000000-0010-0000-0500-000006000000}" name="状态"/>
    <tableColumn id="7" xr3:uid="{00000000-0010-0000-0500-000007000000}" name="负责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showGridLines="0" topLeftCell="A30" zoomScale="85" zoomScaleNormal="85" workbookViewId="0">
      <selection activeCell="F7" sqref="F7"/>
    </sheetView>
  </sheetViews>
  <sheetFormatPr defaultRowHeight="14.25"/>
  <cols>
    <col min="1" max="1" width="10.25" customWidth="1"/>
    <col min="2" max="2" width="19.375" customWidth="1"/>
    <col min="3" max="3" width="35" customWidth="1"/>
    <col min="4" max="4" width="11.5" customWidth="1"/>
    <col min="5" max="5" width="8.75" customWidth="1"/>
    <col min="6" max="6" width="58.75" customWidth="1"/>
    <col min="7" max="7" width="11" customWidth="1"/>
    <col min="8" max="8" width="12.5" customWidth="1"/>
  </cols>
  <sheetData>
    <row r="1" spans="1:8" ht="25.5" customHeight="1">
      <c r="A1" s="35" t="s">
        <v>0</v>
      </c>
      <c r="B1" s="35" t="s">
        <v>0</v>
      </c>
      <c r="C1" s="35" t="s">
        <v>0</v>
      </c>
      <c r="D1" s="35" t="s">
        <v>0</v>
      </c>
      <c r="E1" s="35" t="s">
        <v>0</v>
      </c>
      <c r="F1" s="35" t="s">
        <v>0</v>
      </c>
      <c r="G1" s="35" t="s">
        <v>0</v>
      </c>
      <c r="H1" s="35" t="s">
        <v>0</v>
      </c>
    </row>
    <row r="2" spans="1:8" ht="19.5" customHeight="1">
      <c r="A2" s="36" t="s">
        <v>1</v>
      </c>
      <c r="B2" s="36" t="s">
        <v>1</v>
      </c>
      <c r="C2" s="36" t="s">
        <v>1</v>
      </c>
      <c r="D2" s="36" t="s">
        <v>1</v>
      </c>
      <c r="E2" s="36" t="s">
        <v>1</v>
      </c>
      <c r="F2" s="36" t="s">
        <v>1</v>
      </c>
      <c r="G2" s="36" t="s">
        <v>1</v>
      </c>
      <c r="H2" s="36" t="s">
        <v>1</v>
      </c>
    </row>
    <row r="4" spans="1:8" ht="22.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52.7" customHeight="1">
      <c r="A5" s="11" t="s">
        <v>10</v>
      </c>
      <c r="B5" s="4" t="s">
        <v>11</v>
      </c>
      <c r="C5" s="3" t="s">
        <v>12</v>
      </c>
      <c r="D5" s="16" t="s">
        <v>13</v>
      </c>
      <c r="E5" s="11" t="s">
        <v>14</v>
      </c>
      <c r="F5" s="3" t="s">
        <v>15</v>
      </c>
      <c r="G5" s="11" t="s">
        <v>16</v>
      </c>
      <c r="H5" s="11"/>
    </row>
    <row r="6" spans="1:8" ht="39.6" customHeight="1">
      <c r="A6" s="12" t="s">
        <v>17</v>
      </c>
      <c r="B6" s="2" t="s">
        <v>11</v>
      </c>
      <c r="C6" s="2" t="s">
        <v>18</v>
      </c>
      <c r="D6" s="17" t="s">
        <v>19</v>
      </c>
      <c r="E6" s="12" t="s">
        <v>14</v>
      </c>
      <c r="F6" s="2" t="s">
        <v>20</v>
      </c>
      <c r="G6" s="12" t="s">
        <v>16</v>
      </c>
      <c r="H6" s="12"/>
    </row>
    <row r="7" spans="1:8" ht="39.6" customHeight="1">
      <c r="A7" s="12" t="s">
        <v>21</v>
      </c>
      <c r="B7" s="2" t="s">
        <v>11</v>
      </c>
      <c r="C7" s="2" t="s">
        <v>22</v>
      </c>
      <c r="D7" s="18" t="s">
        <v>23</v>
      </c>
      <c r="E7" s="12" t="s">
        <v>14</v>
      </c>
      <c r="F7" s="2" t="s">
        <v>24</v>
      </c>
      <c r="G7" s="12" t="s">
        <v>16</v>
      </c>
      <c r="H7" s="12"/>
    </row>
    <row r="8" spans="1:8" ht="39.6" customHeight="1">
      <c r="A8" s="13" t="s">
        <v>25</v>
      </c>
      <c r="B8" s="6" t="s">
        <v>26</v>
      </c>
      <c r="C8" s="5" t="s">
        <v>27</v>
      </c>
      <c r="D8" s="16" t="s">
        <v>13</v>
      </c>
      <c r="E8" s="13" t="s">
        <v>14</v>
      </c>
      <c r="F8" s="5" t="s">
        <v>28</v>
      </c>
      <c r="G8" s="13" t="s">
        <v>16</v>
      </c>
      <c r="H8" s="13"/>
    </row>
    <row r="9" spans="1:8" ht="39.6" customHeight="1">
      <c r="A9" s="12" t="s">
        <v>29</v>
      </c>
      <c r="B9" s="2" t="s">
        <v>26</v>
      </c>
      <c r="C9" s="2" t="s">
        <v>30</v>
      </c>
      <c r="D9" s="19" t="s">
        <v>31</v>
      </c>
      <c r="E9" s="12" t="s">
        <v>32</v>
      </c>
      <c r="F9" s="2" t="s">
        <v>33</v>
      </c>
      <c r="G9" s="12" t="s">
        <v>16</v>
      </c>
      <c r="H9" s="12"/>
    </row>
    <row r="10" spans="1:8" ht="39.6" customHeight="1">
      <c r="A10" s="12" t="s">
        <v>34</v>
      </c>
      <c r="B10" s="2" t="s">
        <v>26</v>
      </c>
      <c r="C10" s="2" t="s">
        <v>35</v>
      </c>
      <c r="D10" s="20" t="s">
        <v>36</v>
      </c>
      <c r="E10" s="12" t="s">
        <v>32</v>
      </c>
      <c r="F10" s="2" t="s">
        <v>37</v>
      </c>
      <c r="G10" s="12" t="s">
        <v>16</v>
      </c>
      <c r="H10" s="12"/>
    </row>
    <row r="11" spans="1:8" ht="39.6" customHeight="1">
      <c r="A11" s="12" t="s">
        <v>38</v>
      </c>
      <c r="B11" s="2" t="s">
        <v>26</v>
      </c>
      <c r="C11" s="2" t="s">
        <v>39</v>
      </c>
      <c r="D11" s="17" t="s">
        <v>19</v>
      </c>
      <c r="E11" s="12" t="s">
        <v>14</v>
      </c>
      <c r="F11" s="2" t="s">
        <v>40</v>
      </c>
      <c r="G11" s="12" t="s">
        <v>16</v>
      </c>
      <c r="H11" s="12"/>
    </row>
    <row r="12" spans="1:8" ht="39.6" customHeight="1">
      <c r="A12" s="12" t="s">
        <v>41</v>
      </c>
      <c r="B12" s="2" t="s">
        <v>26</v>
      </c>
      <c r="C12" s="2" t="s">
        <v>42</v>
      </c>
      <c r="D12" s="18" t="s">
        <v>23</v>
      </c>
      <c r="E12" s="12" t="s">
        <v>14</v>
      </c>
      <c r="F12" s="2" t="s">
        <v>43</v>
      </c>
      <c r="G12" s="12" t="s">
        <v>16</v>
      </c>
      <c r="H12" s="12"/>
    </row>
    <row r="13" spans="1:8" ht="39.6" customHeight="1">
      <c r="A13" s="14" t="s">
        <v>44</v>
      </c>
      <c r="B13" s="8" t="s">
        <v>45</v>
      </c>
      <c r="C13" s="7" t="s">
        <v>46</v>
      </c>
      <c r="D13" s="16" t="s">
        <v>13</v>
      </c>
      <c r="E13" s="14" t="s">
        <v>14</v>
      </c>
      <c r="F13" s="7" t="s">
        <v>47</v>
      </c>
      <c r="G13" s="14" t="s">
        <v>16</v>
      </c>
      <c r="H13" s="14"/>
    </row>
    <row r="14" spans="1:8" ht="39.6" customHeight="1">
      <c r="A14" s="12" t="s">
        <v>48</v>
      </c>
      <c r="B14" s="2" t="s">
        <v>45</v>
      </c>
      <c r="C14" s="2" t="s">
        <v>49</v>
      </c>
      <c r="D14" s="19" t="s">
        <v>31</v>
      </c>
      <c r="E14" s="12" t="s">
        <v>32</v>
      </c>
      <c r="F14" s="2" t="s">
        <v>50</v>
      </c>
      <c r="G14" s="12" t="s">
        <v>16</v>
      </c>
      <c r="H14" s="12"/>
    </row>
    <row r="15" spans="1:8" ht="39.6" customHeight="1">
      <c r="A15" s="12" t="s">
        <v>51</v>
      </c>
      <c r="B15" s="2" t="s">
        <v>45</v>
      </c>
      <c r="C15" s="2" t="s">
        <v>52</v>
      </c>
      <c r="D15" s="17" t="s">
        <v>19</v>
      </c>
      <c r="E15" s="12" t="s">
        <v>14</v>
      </c>
      <c r="F15" s="2" t="s">
        <v>53</v>
      </c>
      <c r="G15" s="12" t="s">
        <v>16</v>
      </c>
      <c r="H15" s="12"/>
    </row>
    <row r="16" spans="1:8" ht="39.6" customHeight="1">
      <c r="A16" s="12" t="s">
        <v>54</v>
      </c>
      <c r="B16" s="2" t="s">
        <v>45</v>
      </c>
      <c r="C16" s="2" t="s">
        <v>55</v>
      </c>
      <c r="D16" s="18" t="s">
        <v>23</v>
      </c>
      <c r="E16" s="12" t="s">
        <v>14</v>
      </c>
      <c r="F16" s="2" t="s">
        <v>56</v>
      </c>
      <c r="G16" s="12" t="s">
        <v>16</v>
      </c>
      <c r="H16" s="12"/>
    </row>
    <row r="17" spans="1:8" ht="39.6" customHeight="1">
      <c r="A17" s="15" t="s">
        <v>57</v>
      </c>
      <c r="B17" s="10" t="s">
        <v>58</v>
      </c>
      <c r="C17" s="9" t="s">
        <v>59</v>
      </c>
      <c r="D17" s="16" t="s">
        <v>13</v>
      </c>
      <c r="E17" s="15" t="s">
        <v>14</v>
      </c>
      <c r="F17" s="9" t="s">
        <v>60</v>
      </c>
      <c r="G17" s="15" t="s">
        <v>16</v>
      </c>
      <c r="H17" s="15"/>
    </row>
    <row r="18" spans="1:8" ht="39.6" customHeight="1">
      <c r="A18" s="12" t="s">
        <v>61</v>
      </c>
      <c r="B18" s="2" t="s">
        <v>58</v>
      </c>
      <c r="C18" s="2" t="s">
        <v>62</v>
      </c>
      <c r="D18" s="19" t="s">
        <v>31</v>
      </c>
      <c r="E18" s="12" t="s">
        <v>32</v>
      </c>
      <c r="F18" s="2" t="s">
        <v>63</v>
      </c>
      <c r="G18" s="12" t="s">
        <v>16</v>
      </c>
      <c r="H18" s="12"/>
    </row>
    <row r="19" spans="1:8" ht="39.6" customHeight="1">
      <c r="A19" s="12" t="s">
        <v>64</v>
      </c>
      <c r="B19" s="2" t="s">
        <v>58</v>
      </c>
      <c r="C19" s="2" t="s">
        <v>65</v>
      </c>
      <c r="D19" s="20" t="s">
        <v>36</v>
      </c>
      <c r="E19" s="12" t="s">
        <v>32</v>
      </c>
      <c r="F19" s="2" t="s">
        <v>66</v>
      </c>
      <c r="G19" s="12" t="s">
        <v>16</v>
      </c>
      <c r="H19" s="12"/>
    </row>
    <row r="20" spans="1:8" ht="39.6" customHeight="1">
      <c r="A20" s="12" t="s">
        <v>67</v>
      </c>
      <c r="B20" s="2" t="s">
        <v>58</v>
      </c>
      <c r="C20" s="2" t="s">
        <v>68</v>
      </c>
      <c r="D20" s="17" t="s">
        <v>19</v>
      </c>
      <c r="E20" s="12" t="s">
        <v>14</v>
      </c>
      <c r="F20" s="2" t="s">
        <v>69</v>
      </c>
      <c r="G20" s="12" t="s">
        <v>16</v>
      </c>
      <c r="H20" s="12"/>
    </row>
    <row r="21" spans="1:8" ht="39.6" customHeight="1">
      <c r="A21" s="12" t="s">
        <v>70</v>
      </c>
      <c r="B21" s="2" t="s">
        <v>58</v>
      </c>
      <c r="C21" s="2" t="s">
        <v>71</v>
      </c>
      <c r="D21" s="18" t="s">
        <v>23</v>
      </c>
      <c r="E21" s="12" t="s">
        <v>14</v>
      </c>
      <c r="F21" s="2" t="s">
        <v>72</v>
      </c>
      <c r="G21" s="12" t="s">
        <v>16</v>
      </c>
      <c r="H21" s="12"/>
    </row>
    <row r="22" spans="1:8" ht="39.6" customHeight="1">
      <c r="A22" s="11" t="s">
        <v>73</v>
      </c>
      <c r="B22" s="4" t="s">
        <v>74</v>
      </c>
      <c r="C22" s="3" t="s">
        <v>75</v>
      </c>
      <c r="D22" s="16" t="s">
        <v>13</v>
      </c>
      <c r="E22" s="11" t="s">
        <v>14</v>
      </c>
      <c r="F22" s="3" t="s">
        <v>76</v>
      </c>
      <c r="G22" s="11" t="s">
        <v>16</v>
      </c>
      <c r="H22" s="11"/>
    </row>
    <row r="23" spans="1:8" ht="39.6" customHeight="1">
      <c r="A23" s="12" t="s">
        <v>77</v>
      </c>
      <c r="B23" s="2" t="s">
        <v>74</v>
      </c>
      <c r="C23" s="2" t="s">
        <v>78</v>
      </c>
      <c r="D23" s="19" t="s">
        <v>31</v>
      </c>
      <c r="E23" s="12" t="s">
        <v>32</v>
      </c>
      <c r="F23" s="2" t="s">
        <v>79</v>
      </c>
      <c r="G23" s="12" t="s">
        <v>16</v>
      </c>
      <c r="H23" s="12"/>
    </row>
    <row r="24" spans="1:8" ht="39.6" customHeight="1">
      <c r="A24" s="12" t="s">
        <v>80</v>
      </c>
      <c r="B24" s="2" t="s">
        <v>74</v>
      </c>
      <c r="C24" s="2" t="s">
        <v>81</v>
      </c>
      <c r="D24" s="20" t="s">
        <v>36</v>
      </c>
      <c r="E24" s="12" t="s">
        <v>14</v>
      </c>
      <c r="F24" s="2" t="s">
        <v>82</v>
      </c>
      <c r="G24" s="12" t="s">
        <v>16</v>
      </c>
      <c r="H24" s="12"/>
    </row>
    <row r="25" spans="1:8" ht="39.6" customHeight="1">
      <c r="A25" s="12" t="s">
        <v>83</v>
      </c>
      <c r="B25" s="2" t="s">
        <v>74</v>
      </c>
      <c r="C25" s="2" t="s">
        <v>84</v>
      </c>
      <c r="D25" s="17" t="s">
        <v>19</v>
      </c>
      <c r="E25" s="12" t="s">
        <v>14</v>
      </c>
      <c r="F25" s="2" t="s">
        <v>85</v>
      </c>
      <c r="G25" s="12" t="s">
        <v>16</v>
      </c>
      <c r="H25" s="12"/>
    </row>
    <row r="26" spans="1:8" ht="39.6" customHeight="1">
      <c r="A26" s="12" t="s">
        <v>86</v>
      </c>
      <c r="B26" s="2" t="s">
        <v>74</v>
      </c>
      <c r="C26" s="2" t="s">
        <v>87</v>
      </c>
      <c r="D26" s="18" t="s">
        <v>23</v>
      </c>
      <c r="E26" s="12" t="s">
        <v>14</v>
      </c>
      <c r="F26" s="2" t="s">
        <v>88</v>
      </c>
      <c r="G26" s="12" t="s">
        <v>16</v>
      </c>
      <c r="H26" s="12"/>
    </row>
    <row r="27" spans="1:8" ht="39.6" customHeight="1">
      <c r="A27" s="13" t="s">
        <v>89</v>
      </c>
      <c r="B27" s="6" t="s">
        <v>90</v>
      </c>
      <c r="C27" s="5" t="s">
        <v>91</v>
      </c>
      <c r="D27" s="16" t="s">
        <v>13</v>
      </c>
      <c r="E27" s="13" t="s">
        <v>14</v>
      </c>
      <c r="F27" s="5" t="s">
        <v>92</v>
      </c>
      <c r="G27" s="13" t="s">
        <v>16</v>
      </c>
      <c r="H27" s="13"/>
    </row>
    <row r="28" spans="1:8" ht="39.6" customHeight="1">
      <c r="A28" s="12" t="s">
        <v>93</v>
      </c>
      <c r="B28" s="2" t="s">
        <v>90</v>
      </c>
      <c r="C28" s="2" t="s">
        <v>94</v>
      </c>
      <c r="D28" s="19" t="s">
        <v>31</v>
      </c>
      <c r="E28" s="12" t="s">
        <v>32</v>
      </c>
      <c r="F28" s="2" t="s">
        <v>95</v>
      </c>
      <c r="G28" s="12" t="s">
        <v>16</v>
      </c>
      <c r="H28" s="12"/>
    </row>
    <row r="29" spans="1:8" ht="39.6" customHeight="1">
      <c r="A29" s="12" t="s">
        <v>96</v>
      </c>
      <c r="B29" s="2" t="s">
        <v>90</v>
      </c>
      <c r="C29" s="2" t="s">
        <v>97</v>
      </c>
      <c r="D29" s="20" t="s">
        <v>36</v>
      </c>
      <c r="E29" s="12" t="s">
        <v>32</v>
      </c>
      <c r="F29" s="2" t="s">
        <v>98</v>
      </c>
      <c r="G29" s="12" t="s">
        <v>16</v>
      </c>
      <c r="H29" s="12"/>
    </row>
    <row r="30" spans="1:8" ht="39.6" customHeight="1">
      <c r="A30" s="12" t="s">
        <v>99</v>
      </c>
      <c r="B30" s="2" t="s">
        <v>90</v>
      </c>
      <c r="C30" s="2" t="s">
        <v>100</v>
      </c>
      <c r="D30" s="17" t="s">
        <v>19</v>
      </c>
      <c r="E30" s="12" t="s">
        <v>14</v>
      </c>
      <c r="F30" s="2" t="s">
        <v>101</v>
      </c>
      <c r="G30" s="12" t="s">
        <v>16</v>
      </c>
      <c r="H30" s="12"/>
    </row>
    <row r="31" spans="1:8" ht="39.6" customHeight="1">
      <c r="A31" s="12" t="s">
        <v>102</v>
      </c>
      <c r="B31" s="2" t="s">
        <v>90</v>
      </c>
      <c r="C31" s="2" t="s">
        <v>103</v>
      </c>
      <c r="D31" s="18" t="s">
        <v>23</v>
      </c>
      <c r="E31" s="12" t="s">
        <v>14</v>
      </c>
      <c r="F31" s="2" t="s">
        <v>104</v>
      </c>
      <c r="G31" s="12" t="s">
        <v>16</v>
      </c>
      <c r="H31" s="12"/>
    </row>
    <row r="32" spans="1:8" ht="39.6" customHeight="1">
      <c r="A32" s="14" t="s">
        <v>105</v>
      </c>
      <c r="B32" s="8" t="s">
        <v>106</v>
      </c>
      <c r="C32" s="7" t="s">
        <v>107</v>
      </c>
      <c r="D32" s="16" t="s">
        <v>13</v>
      </c>
      <c r="E32" s="14" t="s">
        <v>14</v>
      </c>
      <c r="F32" s="7" t="s">
        <v>108</v>
      </c>
      <c r="G32" s="14" t="s">
        <v>16</v>
      </c>
      <c r="H32" s="14"/>
    </row>
    <row r="33" spans="1:8" ht="39.6" customHeight="1">
      <c r="A33" s="12" t="s">
        <v>109</v>
      </c>
      <c r="B33" s="2" t="s">
        <v>106</v>
      </c>
      <c r="C33" s="2" t="s">
        <v>110</v>
      </c>
      <c r="D33" s="17" t="s">
        <v>19</v>
      </c>
      <c r="E33" s="12" t="s">
        <v>14</v>
      </c>
      <c r="F33" s="2" t="s">
        <v>111</v>
      </c>
      <c r="G33" s="12" t="s">
        <v>16</v>
      </c>
      <c r="H33" s="12"/>
    </row>
    <row r="34" spans="1:8" ht="52.7" customHeight="1">
      <c r="A34" s="12" t="s">
        <v>112</v>
      </c>
      <c r="B34" s="2" t="s">
        <v>106</v>
      </c>
      <c r="C34" s="2" t="s">
        <v>113</v>
      </c>
      <c r="D34" s="18" t="s">
        <v>23</v>
      </c>
      <c r="E34" s="12" t="s">
        <v>14</v>
      </c>
      <c r="F34" s="2" t="s">
        <v>114</v>
      </c>
      <c r="G34" s="12" t="s">
        <v>16</v>
      </c>
      <c r="H34" s="12"/>
    </row>
    <row r="35" spans="1:8" ht="39.6" customHeight="1">
      <c r="A35" s="15" t="s">
        <v>115</v>
      </c>
      <c r="B35" s="10" t="s">
        <v>116</v>
      </c>
      <c r="C35" s="9" t="s">
        <v>117</v>
      </c>
      <c r="D35" s="16" t="s">
        <v>13</v>
      </c>
      <c r="E35" s="15" t="s">
        <v>14</v>
      </c>
      <c r="F35" s="9" t="s">
        <v>118</v>
      </c>
      <c r="G35" s="15" t="s">
        <v>16</v>
      </c>
      <c r="H35" s="15"/>
    </row>
    <row r="36" spans="1:8" ht="39.6" customHeight="1">
      <c r="A36" s="12" t="s">
        <v>119</v>
      </c>
      <c r="B36" s="2" t="s">
        <v>116</v>
      </c>
      <c r="C36" s="2" t="s">
        <v>120</v>
      </c>
      <c r="D36" s="20" t="s">
        <v>36</v>
      </c>
      <c r="E36" s="12" t="s">
        <v>32</v>
      </c>
      <c r="F36" s="2" t="s">
        <v>121</v>
      </c>
      <c r="G36" s="12" t="s">
        <v>16</v>
      </c>
      <c r="H36" s="12"/>
    </row>
    <row r="37" spans="1:8" ht="39.6" customHeight="1">
      <c r="A37" s="12" t="s">
        <v>122</v>
      </c>
      <c r="B37" s="2" t="s">
        <v>116</v>
      </c>
      <c r="C37" s="2" t="s">
        <v>123</v>
      </c>
      <c r="D37" s="17" t="s">
        <v>19</v>
      </c>
      <c r="E37" s="12" t="s">
        <v>14</v>
      </c>
      <c r="F37" s="2" t="s">
        <v>124</v>
      </c>
      <c r="G37" s="12" t="s">
        <v>16</v>
      </c>
      <c r="H37" s="12"/>
    </row>
    <row r="38" spans="1:8" ht="39.6" customHeight="1">
      <c r="A38" s="12" t="s">
        <v>125</v>
      </c>
      <c r="B38" s="2" t="s">
        <v>116</v>
      </c>
      <c r="C38" s="2" t="s">
        <v>126</v>
      </c>
      <c r="D38" s="18" t="s">
        <v>23</v>
      </c>
      <c r="E38" s="12" t="s">
        <v>14</v>
      </c>
      <c r="F38" s="2" t="s">
        <v>127</v>
      </c>
      <c r="G38" s="12" t="s">
        <v>16</v>
      </c>
      <c r="H38" s="12"/>
    </row>
    <row r="39" spans="1:8" ht="39.6" customHeight="1">
      <c r="A39" s="11" t="s">
        <v>128</v>
      </c>
      <c r="B39" s="4" t="s">
        <v>129</v>
      </c>
      <c r="C39" s="3" t="s">
        <v>130</v>
      </c>
      <c r="D39" s="16" t="s">
        <v>13</v>
      </c>
      <c r="E39" s="11" t="s">
        <v>14</v>
      </c>
      <c r="F39" s="3" t="s">
        <v>131</v>
      </c>
      <c r="G39" s="11" t="s">
        <v>16</v>
      </c>
      <c r="H39" s="11"/>
    </row>
    <row r="40" spans="1:8" ht="39.6" customHeight="1">
      <c r="A40" s="12" t="s">
        <v>132</v>
      </c>
      <c r="B40" s="2" t="s">
        <v>129</v>
      </c>
      <c r="C40" s="2" t="s">
        <v>133</v>
      </c>
      <c r="D40" s="17" t="s">
        <v>19</v>
      </c>
      <c r="E40" s="12" t="s">
        <v>14</v>
      </c>
      <c r="F40" s="2" t="s">
        <v>134</v>
      </c>
      <c r="G40" s="12" t="s">
        <v>16</v>
      </c>
      <c r="H40" s="12"/>
    </row>
    <row r="41" spans="1:8" ht="52.7" customHeight="1">
      <c r="A41" s="12" t="s">
        <v>135</v>
      </c>
      <c r="B41" s="2" t="s">
        <v>129</v>
      </c>
      <c r="C41" s="2" t="s">
        <v>136</v>
      </c>
      <c r="D41" s="18" t="s">
        <v>23</v>
      </c>
      <c r="E41" s="12" t="s">
        <v>14</v>
      </c>
      <c r="F41" s="2" t="s">
        <v>137</v>
      </c>
      <c r="G41" s="12" t="s">
        <v>16</v>
      </c>
      <c r="H41" s="12"/>
    </row>
  </sheetData>
  <mergeCells count="2">
    <mergeCell ref="A1:H1"/>
    <mergeCell ref="A2:H2"/>
  </mergeCells>
  <phoneticPr fontId="8" type="noConversion"/>
  <conditionalFormatting sqref="E5:E41">
    <cfRule type="containsText" dxfId="41" priority="1" operator="containsText" text="P0"/>
    <cfRule type="containsText" dxfId="40" priority="2" operator="containsText" text="P1"/>
    <cfRule type="containsText" dxfId="39" priority="3" operator="containsText" text="P2"/>
  </conditionalFormatting>
  <conditionalFormatting sqref="G5:G41">
    <cfRule type="containsText" dxfId="38" priority="4" operator="containsText" text="未开始"/>
    <cfRule type="containsText" dxfId="37" priority="5" operator="containsText" text="进行中"/>
    <cfRule type="containsText" dxfId="36" priority="6" operator="containsText" text="已完成"/>
    <cfRule type="containsText" dxfId="35" priority="7" operator="containsText" text="阻塞"/>
  </conditionalFormatting>
  <dataValidations count="2">
    <dataValidation type="list" sqref="E5:E41" xr:uid="{00000000-0002-0000-0000-000000000000}">
      <formula1>"P0,P1,P2"</formula1>
    </dataValidation>
    <dataValidation type="list" sqref="G5:G41" xr:uid="{00000000-0002-0000-0000-000001000000}">
      <formula1>"未开始,进行中,已完成,阻塞"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workbookViewId="0">
      <selection sqref="A1:E1"/>
    </sheetView>
  </sheetViews>
  <sheetFormatPr defaultRowHeight="14.25"/>
  <cols>
    <col min="1" max="1" width="18.75" customWidth="1"/>
    <col min="2" max="5" width="11.5" customWidth="1"/>
  </cols>
  <sheetData>
    <row r="1" spans="1:5" ht="25.5" customHeight="1">
      <c r="A1" s="35" t="s">
        <v>138</v>
      </c>
      <c r="B1" s="35" t="s">
        <v>138</v>
      </c>
      <c r="C1" s="35" t="s">
        <v>138</v>
      </c>
      <c r="D1" s="35" t="s">
        <v>138</v>
      </c>
      <c r="E1" s="35" t="s">
        <v>138</v>
      </c>
    </row>
    <row r="3" spans="1:5" ht="16.7" customHeight="1">
      <c r="A3" s="21" t="s">
        <v>139</v>
      </c>
      <c r="B3" s="22">
        <f>COUNTA(总表!$A$5:$A$41)</f>
        <v>37</v>
      </c>
    </row>
    <row r="4" spans="1:5" ht="16.7" customHeight="1">
      <c r="A4" s="21" t="s">
        <v>14</v>
      </c>
      <c r="B4" s="22">
        <f>COUNTIF(总表!$E$5:$E$41,"P0")</f>
        <v>28</v>
      </c>
    </row>
    <row r="5" spans="1:5" ht="16.7" customHeight="1">
      <c r="A5" s="21" t="s">
        <v>32</v>
      </c>
      <c r="B5" s="22">
        <f>COUNTIF(总表!$E$5:$E$41,"P1")</f>
        <v>9</v>
      </c>
    </row>
    <row r="6" spans="1:5" ht="16.7" customHeight="1">
      <c r="A6" s="21" t="s">
        <v>140</v>
      </c>
      <c r="B6" s="22">
        <f>COUNTIF(总表!$E$5:$E$41,"P2")</f>
        <v>0</v>
      </c>
    </row>
    <row r="8" spans="1:5" ht="15" customHeight="1">
      <c r="A8" s="1" t="s">
        <v>5</v>
      </c>
      <c r="B8" s="1" t="s">
        <v>141</v>
      </c>
      <c r="C8" s="1" t="s">
        <v>14</v>
      </c>
      <c r="D8" s="1" t="s">
        <v>32</v>
      </c>
      <c r="E8" s="1" t="s">
        <v>140</v>
      </c>
    </row>
    <row r="9" spans="1:5" ht="15" customHeight="1">
      <c r="A9" s="28" t="s">
        <v>13</v>
      </c>
      <c r="B9" s="33">
        <f>COUNTIF(总表!$D$5:$D$41,A9)</f>
        <v>9</v>
      </c>
      <c r="C9" s="33">
        <f>COUNTIFS(总表!$D$5:$D$41,$A9,总表!$E$5:$E$41,C$8)</f>
        <v>9</v>
      </c>
      <c r="D9" s="33">
        <f>COUNTIFS(总表!$D$5:$D$41,$A9,总表!$E$5:$E$41,D$8)</f>
        <v>0</v>
      </c>
      <c r="E9" s="33">
        <f>COUNTIFS(总表!$D$5:$D$41,$A9,总表!$E$5:$E$41,E$8)</f>
        <v>0</v>
      </c>
    </row>
    <row r="10" spans="1:5" ht="15" customHeight="1">
      <c r="A10" s="29" t="s">
        <v>31</v>
      </c>
      <c r="B10" s="33">
        <f>COUNTIF(总表!$D$5:$D$41,A10)</f>
        <v>5</v>
      </c>
      <c r="C10" s="33">
        <f>COUNTIFS(总表!$D$5:$D$41,$A10,总表!$E$5:$E$41,C$8)</f>
        <v>0</v>
      </c>
      <c r="D10" s="33">
        <f>COUNTIFS(总表!$D$5:$D$41,$A10,总表!$E$5:$E$41,D$8)</f>
        <v>5</v>
      </c>
      <c r="E10" s="33">
        <f>COUNTIFS(总表!$D$5:$D$41,$A10,总表!$E$5:$E$41,E$8)</f>
        <v>0</v>
      </c>
    </row>
    <row r="11" spans="1:5" ht="15" customHeight="1">
      <c r="A11" s="30" t="s">
        <v>36</v>
      </c>
      <c r="B11" s="33">
        <f>COUNTIF(总表!$D$5:$D$41,A11)</f>
        <v>5</v>
      </c>
      <c r="C11" s="33">
        <f>COUNTIFS(总表!$D$5:$D$41,$A11,总表!$E$5:$E$41,C$8)</f>
        <v>1</v>
      </c>
      <c r="D11" s="33">
        <f>COUNTIFS(总表!$D$5:$D$41,$A11,总表!$E$5:$E$41,D$8)</f>
        <v>4</v>
      </c>
      <c r="E11" s="33">
        <f>COUNTIFS(总表!$D$5:$D$41,$A11,总表!$E$5:$E$41,E$8)</f>
        <v>0</v>
      </c>
    </row>
    <row r="12" spans="1:5" ht="15" customHeight="1">
      <c r="A12" s="31" t="s">
        <v>19</v>
      </c>
      <c r="B12" s="33">
        <f>COUNTIF(总表!$D$5:$D$41,A12)</f>
        <v>9</v>
      </c>
      <c r="C12" s="33">
        <f>COUNTIFS(总表!$D$5:$D$41,$A12,总表!$E$5:$E$41,C$8)</f>
        <v>9</v>
      </c>
      <c r="D12" s="33">
        <f>COUNTIFS(总表!$D$5:$D$41,$A12,总表!$E$5:$E$41,D$8)</f>
        <v>0</v>
      </c>
      <c r="E12" s="33">
        <f>COUNTIFS(总表!$D$5:$D$41,$A12,总表!$E$5:$E$41,E$8)</f>
        <v>0</v>
      </c>
    </row>
    <row r="13" spans="1:5" ht="15" customHeight="1">
      <c r="A13" s="32" t="s">
        <v>23</v>
      </c>
      <c r="B13" s="33">
        <f>COUNTIF(总表!$D$5:$D$41,A13)</f>
        <v>9</v>
      </c>
      <c r="C13" s="33">
        <f>COUNTIFS(总表!$D$5:$D$41,$A13,总表!$E$5:$E$41,C$8)</f>
        <v>9</v>
      </c>
      <c r="D13" s="33">
        <f>COUNTIFS(总表!$D$5:$D$41,$A13,总表!$E$5:$E$41,D$8)</f>
        <v>0</v>
      </c>
      <c r="E13" s="33">
        <f>COUNTIFS(总表!$D$5:$D$41,$A13,总表!$E$5:$E$41,E$8)</f>
        <v>0</v>
      </c>
    </row>
    <row r="15" spans="1:5" ht="28.5" customHeight="1">
      <c r="A15" s="37" t="s">
        <v>142</v>
      </c>
      <c r="B15" s="38" t="s">
        <v>142</v>
      </c>
      <c r="C15" s="38" t="s">
        <v>142</v>
      </c>
      <c r="D15" s="38" t="s">
        <v>142</v>
      </c>
      <c r="E15" s="39" t="s">
        <v>142</v>
      </c>
    </row>
    <row r="16" spans="1:5" ht="28.5" customHeight="1">
      <c r="A16" s="40" t="s">
        <v>142</v>
      </c>
      <c r="B16" s="41" t="s">
        <v>142</v>
      </c>
      <c r="C16" s="41" t="s">
        <v>142</v>
      </c>
      <c r="D16" s="41" t="s">
        <v>142</v>
      </c>
      <c r="E16" s="42" t="s">
        <v>142</v>
      </c>
    </row>
  </sheetData>
  <mergeCells count="2">
    <mergeCell ref="A1:E1"/>
    <mergeCell ref="A15:E16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showGridLines="0" zoomScale="85" zoomScaleNormal="85" workbookViewId="0">
      <selection sqref="A1:G1"/>
    </sheetView>
  </sheetViews>
  <sheetFormatPr defaultRowHeight="14.25"/>
  <cols>
    <col min="1" max="1" width="10.25" customWidth="1"/>
    <col min="2" max="2" width="21.25" customWidth="1"/>
    <col min="3" max="3" width="37.5" customWidth="1"/>
    <col min="4" max="4" width="9" customWidth="1"/>
    <col min="5" max="5" width="62.5" customWidth="1"/>
    <col min="6" max="6" width="11" customWidth="1"/>
    <col min="7" max="7" width="12.5" customWidth="1"/>
  </cols>
  <sheetData>
    <row r="1" spans="1:7" ht="25.5" customHeight="1">
      <c r="A1" s="35" t="s">
        <v>143</v>
      </c>
      <c r="B1" s="35" t="s">
        <v>143</v>
      </c>
      <c r="C1" s="35" t="s">
        <v>143</v>
      </c>
      <c r="D1" s="35" t="s">
        <v>143</v>
      </c>
      <c r="E1" s="35" t="s">
        <v>143</v>
      </c>
      <c r="F1" s="35" t="s">
        <v>143</v>
      </c>
      <c r="G1" s="35" t="s">
        <v>143</v>
      </c>
    </row>
    <row r="2" spans="1:7" ht="18.75" customHeight="1">
      <c r="A2" s="43" t="s">
        <v>144</v>
      </c>
      <c r="B2" s="43" t="s">
        <v>144</v>
      </c>
      <c r="C2" s="43" t="s">
        <v>144</v>
      </c>
      <c r="D2" s="43" t="s">
        <v>144</v>
      </c>
      <c r="E2" s="43" t="s">
        <v>144</v>
      </c>
      <c r="F2" s="43" t="s">
        <v>144</v>
      </c>
      <c r="G2" s="43" t="s">
        <v>144</v>
      </c>
    </row>
    <row r="4" spans="1:7" ht="22.5" customHeight="1">
      <c r="A4" s="1" t="s">
        <v>2</v>
      </c>
      <c r="B4" s="1" t="s">
        <v>3</v>
      </c>
      <c r="C4" s="1" t="s">
        <v>4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52.7" customHeight="1">
      <c r="A5" s="11" t="s">
        <v>10</v>
      </c>
      <c r="B5" s="4" t="s">
        <v>11</v>
      </c>
      <c r="C5" s="3" t="s">
        <v>12</v>
      </c>
      <c r="D5" s="11" t="s">
        <v>14</v>
      </c>
      <c r="E5" s="3" t="s">
        <v>15</v>
      </c>
      <c r="F5" s="11" t="s">
        <v>16</v>
      </c>
      <c r="G5" s="11"/>
    </row>
    <row r="6" spans="1:7" ht="39.6" customHeight="1">
      <c r="A6" s="13" t="s">
        <v>25</v>
      </c>
      <c r="B6" s="6" t="s">
        <v>26</v>
      </c>
      <c r="C6" s="5" t="s">
        <v>27</v>
      </c>
      <c r="D6" s="13" t="s">
        <v>14</v>
      </c>
      <c r="E6" s="5" t="s">
        <v>28</v>
      </c>
      <c r="F6" s="13" t="s">
        <v>16</v>
      </c>
      <c r="G6" s="13"/>
    </row>
    <row r="7" spans="1:7" ht="39.6" customHeight="1">
      <c r="A7" s="14" t="s">
        <v>44</v>
      </c>
      <c r="B7" s="8" t="s">
        <v>45</v>
      </c>
      <c r="C7" s="7" t="s">
        <v>46</v>
      </c>
      <c r="D7" s="14" t="s">
        <v>14</v>
      </c>
      <c r="E7" s="7" t="s">
        <v>47</v>
      </c>
      <c r="F7" s="14" t="s">
        <v>16</v>
      </c>
      <c r="G7" s="14"/>
    </row>
    <row r="8" spans="1:7" ht="39.6" customHeight="1">
      <c r="A8" s="15" t="s">
        <v>57</v>
      </c>
      <c r="B8" s="10" t="s">
        <v>58</v>
      </c>
      <c r="C8" s="9" t="s">
        <v>59</v>
      </c>
      <c r="D8" s="15" t="s">
        <v>14</v>
      </c>
      <c r="E8" s="9" t="s">
        <v>60</v>
      </c>
      <c r="F8" s="15" t="s">
        <v>16</v>
      </c>
      <c r="G8" s="15"/>
    </row>
    <row r="9" spans="1:7" ht="39.6" customHeight="1">
      <c r="A9" s="11" t="s">
        <v>73</v>
      </c>
      <c r="B9" s="4" t="s">
        <v>74</v>
      </c>
      <c r="C9" s="3" t="s">
        <v>75</v>
      </c>
      <c r="D9" s="11" t="s">
        <v>14</v>
      </c>
      <c r="E9" s="3" t="s">
        <v>76</v>
      </c>
      <c r="F9" s="11" t="s">
        <v>16</v>
      </c>
      <c r="G9" s="11"/>
    </row>
    <row r="10" spans="1:7" ht="39.6" customHeight="1">
      <c r="A10" s="13" t="s">
        <v>89</v>
      </c>
      <c r="B10" s="6" t="s">
        <v>90</v>
      </c>
      <c r="C10" s="5" t="s">
        <v>91</v>
      </c>
      <c r="D10" s="13" t="s">
        <v>14</v>
      </c>
      <c r="E10" s="5" t="s">
        <v>92</v>
      </c>
      <c r="F10" s="13" t="s">
        <v>16</v>
      </c>
      <c r="G10" s="13"/>
    </row>
    <row r="11" spans="1:7" ht="39.6" customHeight="1">
      <c r="A11" s="14" t="s">
        <v>105</v>
      </c>
      <c r="B11" s="8" t="s">
        <v>106</v>
      </c>
      <c r="C11" s="7" t="s">
        <v>107</v>
      </c>
      <c r="D11" s="14" t="s">
        <v>14</v>
      </c>
      <c r="E11" s="7" t="s">
        <v>108</v>
      </c>
      <c r="F11" s="14" t="s">
        <v>16</v>
      </c>
      <c r="G11" s="14"/>
    </row>
    <row r="12" spans="1:7" ht="39.6" customHeight="1">
      <c r="A12" s="15" t="s">
        <v>115</v>
      </c>
      <c r="B12" s="10" t="s">
        <v>116</v>
      </c>
      <c r="C12" s="9" t="s">
        <v>117</v>
      </c>
      <c r="D12" s="15" t="s">
        <v>14</v>
      </c>
      <c r="E12" s="9" t="s">
        <v>118</v>
      </c>
      <c r="F12" s="15" t="s">
        <v>16</v>
      </c>
      <c r="G12" s="15"/>
    </row>
    <row r="13" spans="1:7" ht="39.6" customHeight="1">
      <c r="A13" s="11" t="s">
        <v>128</v>
      </c>
      <c r="B13" s="4" t="s">
        <v>129</v>
      </c>
      <c r="C13" s="3" t="s">
        <v>130</v>
      </c>
      <c r="D13" s="11" t="s">
        <v>14</v>
      </c>
      <c r="E13" s="3" t="s">
        <v>131</v>
      </c>
      <c r="F13" s="11" t="s">
        <v>16</v>
      </c>
      <c r="G13" s="11"/>
    </row>
    <row r="15" spans="1:7" ht="22.5" customHeight="1">
      <c r="A15" s="1" t="s">
        <v>145</v>
      </c>
      <c r="B15" s="1" t="s">
        <v>141</v>
      </c>
      <c r="C15" s="1" t="s">
        <v>14</v>
      </c>
      <c r="D15" s="1" t="s">
        <v>32</v>
      </c>
      <c r="E15" s="1" t="s">
        <v>140</v>
      </c>
    </row>
    <row r="16" spans="1:7">
      <c r="A16" s="23" t="s">
        <v>13</v>
      </c>
      <c r="B16" s="34">
        <f>COUNTA(A5:A13)</f>
        <v>9</v>
      </c>
      <c r="C16" s="34">
        <f>COUNTIF(D5:D13,"P0")</f>
        <v>9</v>
      </c>
      <c r="D16" s="34">
        <f>COUNTIF(D5:D13,"P1")</f>
        <v>0</v>
      </c>
      <c r="E16" s="34">
        <f>COUNTIF(D5:D13,"P2")</f>
        <v>0</v>
      </c>
    </row>
  </sheetData>
  <mergeCells count="2">
    <mergeCell ref="A1:G1"/>
    <mergeCell ref="A2:G2"/>
  </mergeCells>
  <phoneticPr fontId="8" type="noConversion"/>
  <conditionalFormatting sqref="D5:D13">
    <cfRule type="containsText" dxfId="34" priority="1" operator="containsText" text="P0"/>
    <cfRule type="containsText" dxfId="33" priority="2" operator="containsText" text="P1"/>
    <cfRule type="containsText" dxfId="32" priority="3" operator="containsText" text="P2"/>
  </conditionalFormatting>
  <conditionalFormatting sqref="F5:F13">
    <cfRule type="containsText" dxfId="31" priority="4" operator="containsText" text="未开始"/>
    <cfRule type="containsText" dxfId="30" priority="5" operator="containsText" text="进行中"/>
    <cfRule type="containsText" dxfId="29" priority="6" operator="containsText" text="已完成"/>
    <cfRule type="containsText" dxfId="28" priority="7" operator="containsText" text="阻塞"/>
  </conditionalFormatting>
  <dataValidations count="2">
    <dataValidation type="list" sqref="D5:D13" xr:uid="{00000000-0002-0000-0200-000000000000}">
      <formula1>"P0,P1,P2"</formula1>
    </dataValidation>
    <dataValidation type="list" sqref="F5:F13" xr:uid="{00000000-0002-0000-0200-000001000000}">
      <formula1>"未开始,进行中,已完成,阻塞"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zoomScale="85" zoomScaleNormal="85" workbookViewId="0">
      <selection activeCell="B15" sqref="B15"/>
    </sheetView>
  </sheetViews>
  <sheetFormatPr defaultRowHeight="14.25"/>
  <cols>
    <col min="1" max="1" width="10.25" customWidth="1"/>
    <col min="2" max="2" width="21.25" customWidth="1"/>
    <col min="3" max="3" width="37.5" customWidth="1"/>
    <col min="4" max="4" width="9" customWidth="1"/>
    <col min="5" max="5" width="62.5" customWidth="1"/>
    <col min="6" max="6" width="11" customWidth="1"/>
    <col min="7" max="7" width="12.5" customWidth="1"/>
  </cols>
  <sheetData>
    <row r="1" spans="1:7" ht="25.5" customHeight="1">
      <c r="A1" s="35" t="s">
        <v>146</v>
      </c>
      <c r="B1" s="35" t="s">
        <v>146</v>
      </c>
      <c r="C1" s="35" t="s">
        <v>146</v>
      </c>
      <c r="D1" s="35" t="s">
        <v>146</v>
      </c>
      <c r="E1" s="35" t="s">
        <v>146</v>
      </c>
      <c r="F1" s="35" t="s">
        <v>146</v>
      </c>
      <c r="G1" s="35" t="s">
        <v>146</v>
      </c>
    </row>
    <row r="2" spans="1:7" ht="18.75" customHeight="1">
      <c r="A2" s="44" t="s">
        <v>147</v>
      </c>
      <c r="B2" s="44" t="s">
        <v>147</v>
      </c>
      <c r="C2" s="44" t="s">
        <v>147</v>
      </c>
      <c r="D2" s="44" t="s">
        <v>147</v>
      </c>
      <c r="E2" s="44" t="s">
        <v>147</v>
      </c>
      <c r="F2" s="44" t="s">
        <v>147</v>
      </c>
      <c r="G2" s="44" t="s">
        <v>147</v>
      </c>
    </row>
    <row r="4" spans="1:7" ht="22.5" customHeight="1">
      <c r="A4" s="1" t="s">
        <v>2</v>
      </c>
      <c r="B4" s="1" t="s">
        <v>3</v>
      </c>
      <c r="C4" s="1" t="s">
        <v>4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57.75" customHeight="1">
      <c r="A5" s="11" t="s">
        <v>29</v>
      </c>
      <c r="B5" s="48" t="s">
        <v>152</v>
      </c>
      <c r="C5" s="3" t="s">
        <v>30</v>
      </c>
      <c r="D5" s="11" t="s">
        <v>32</v>
      </c>
      <c r="E5" s="50" t="s">
        <v>157</v>
      </c>
      <c r="F5" s="11" t="s">
        <v>16</v>
      </c>
      <c r="G5" s="11"/>
    </row>
    <row r="6" spans="1:7" ht="57" customHeight="1">
      <c r="A6" s="13" t="s">
        <v>48</v>
      </c>
      <c r="B6" s="6" t="s">
        <v>45</v>
      </c>
      <c r="C6" s="5" t="s">
        <v>49</v>
      </c>
      <c r="D6" s="13" t="s">
        <v>32</v>
      </c>
      <c r="E6" s="5" t="s">
        <v>50</v>
      </c>
      <c r="F6" s="13" t="s">
        <v>16</v>
      </c>
      <c r="G6" s="13"/>
    </row>
    <row r="7" spans="1:7" ht="49.5">
      <c r="A7" s="14" t="s">
        <v>61</v>
      </c>
      <c r="B7" s="8" t="s">
        <v>58</v>
      </c>
      <c r="C7" s="7" t="s">
        <v>62</v>
      </c>
      <c r="D7" s="14" t="s">
        <v>32</v>
      </c>
      <c r="E7" s="52" t="s">
        <v>156</v>
      </c>
      <c r="F7" s="14" t="s">
        <v>16</v>
      </c>
      <c r="G7" s="14"/>
    </row>
    <row r="8" spans="1:7" ht="49.5">
      <c r="A8" s="15" t="s">
        <v>77</v>
      </c>
      <c r="B8" s="10" t="s">
        <v>74</v>
      </c>
      <c r="C8" s="9" t="s">
        <v>78</v>
      </c>
      <c r="D8" s="15" t="s">
        <v>32</v>
      </c>
      <c r="E8" s="51" t="s">
        <v>155</v>
      </c>
      <c r="F8" s="15" t="s">
        <v>16</v>
      </c>
      <c r="G8" s="15"/>
    </row>
    <row r="9" spans="1:7" ht="39.6" customHeight="1">
      <c r="A9" s="11" t="s">
        <v>93</v>
      </c>
      <c r="B9" s="4" t="s">
        <v>90</v>
      </c>
      <c r="C9" s="49" t="s">
        <v>153</v>
      </c>
      <c r="D9" s="11" t="s">
        <v>32</v>
      </c>
      <c r="E9" s="50" t="s">
        <v>154</v>
      </c>
      <c r="F9" s="11" t="s">
        <v>16</v>
      </c>
      <c r="G9" s="11"/>
    </row>
    <row r="11" spans="1:7" ht="22.5" customHeight="1">
      <c r="A11" s="1" t="s">
        <v>145</v>
      </c>
      <c r="B11" s="1" t="s">
        <v>141</v>
      </c>
      <c r="C11" s="1" t="s">
        <v>14</v>
      </c>
      <c r="D11" s="1" t="s">
        <v>32</v>
      </c>
      <c r="E11" s="1" t="s">
        <v>140</v>
      </c>
    </row>
    <row r="12" spans="1:7">
      <c r="A12" s="24" t="s">
        <v>31</v>
      </c>
      <c r="B12" s="34">
        <f>COUNTA(A5:A9)</f>
        <v>5</v>
      </c>
      <c r="C12" s="34">
        <f>COUNTIF(D5:D9,"P0")</f>
        <v>0</v>
      </c>
      <c r="D12" s="34">
        <f>COUNTIF(D5:D9,"P1")</f>
        <v>5</v>
      </c>
      <c r="E12" s="34">
        <f>COUNTIF(D5:D9,"P2")</f>
        <v>0</v>
      </c>
    </row>
  </sheetData>
  <mergeCells count="2">
    <mergeCell ref="A1:G1"/>
    <mergeCell ref="A2:G2"/>
  </mergeCells>
  <phoneticPr fontId="8" type="noConversion"/>
  <conditionalFormatting sqref="D5:D9">
    <cfRule type="containsText" dxfId="27" priority="1" operator="containsText" text="P0"/>
    <cfRule type="containsText" dxfId="26" priority="2" operator="containsText" text="P1"/>
    <cfRule type="containsText" dxfId="25" priority="3" operator="containsText" text="P2"/>
  </conditionalFormatting>
  <conditionalFormatting sqref="F5:F9">
    <cfRule type="containsText" dxfId="24" priority="4" operator="containsText" text="未开始"/>
    <cfRule type="containsText" dxfId="23" priority="5" operator="containsText" text="进行中"/>
    <cfRule type="containsText" dxfId="22" priority="6" operator="containsText" text="已完成"/>
    <cfRule type="containsText" dxfId="21" priority="7" operator="containsText" text="阻塞"/>
  </conditionalFormatting>
  <dataValidations count="2">
    <dataValidation type="list" sqref="D5:D9" xr:uid="{00000000-0002-0000-0300-000000000000}">
      <formula1>"P0,P1,P2"</formula1>
    </dataValidation>
    <dataValidation type="list" sqref="F5:F9" xr:uid="{00000000-0002-0000-0300-000001000000}">
      <formula1>"未开始,进行中,已完成,阻塞"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tabSelected="1" workbookViewId="0">
      <selection activeCell="E8" sqref="E8"/>
    </sheetView>
  </sheetViews>
  <sheetFormatPr defaultRowHeight="14.25"/>
  <cols>
    <col min="1" max="1" width="10.25" customWidth="1"/>
    <col min="2" max="2" width="21.25" customWidth="1"/>
    <col min="3" max="3" width="37.5" customWidth="1"/>
    <col min="4" max="4" width="9" customWidth="1"/>
    <col min="5" max="5" width="62.5" customWidth="1"/>
    <col min="6" max="6" width="11" customWidth="1"/>
    <col min="7" max="7" width="12.5" customWidth="1"/>
  </cols>
  <sheetData>
    <row r="1" spans="1:7" ht="25.5" customHeight="1">
      <c r="A1" s="35" t="s">
        <v>148</v>
      </c>
      <c r="B1" s="35" t="s">
        <v>148</v>
      </c>
      <c r="C1" s="35" t="s">
        <v>148</v>
      </c>
      <c r="D1" s="35" t="s">
        <v>148</v>
      </c>
      <c r="E1" s="35" t="s">
        <v>148</v>
      </c>
      <c r="F1" s="35" t="s">
        <v>148</v>
      </c>
      <c r="G1" s="35" t="s">
        <v>148</v>
      </c>
    </row>
    <row r="2" spans="1:7" ht="18.75" customHeight="1">
      <c r="A2" s="45" t="s">
        <v>149</v>
      </c>
      <c r="B2" s="45" t="s">
        <v>149</v>
      </c>
      <c r="C2" s="45" t="s">
        <v>149</v>
      </c>
      <c r="D2" s="45" t="s">
        <v>149</v>
      </c>
      <c r="E2" s="45" t="s">
        <v>149</v>
      </c>
      <c r="F2" s="45" t="s">
        <v>149</v>
      </c>
      <c r="G2" s="45" t="s">
        <v>149</v>
      </c>
    </row>
    <row r="4" spans="1:7" ht="22.5" customHeight="1">
      <c r="A4" s="1" t="s">
        <v>2</v>
      </c>
      <c r="B4" s="1" t="s">
        <v>3</v>
      </c>
      <c r="C4" s="1" t="s">
        <v>4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39.6" customHeight="1">
      <c r="A5" s="11" t="s">
        <v>34</v>
      </c>
      <c r="B5" s="4" t="s">
        <v>26</v>
      </c>
      <c r="C5" s="3" t="s">
        <v>35</v>
      </c>
      <c r="D5" s="11" t="s">
        <v>32</v>
      </c>
      <c r="E5" s="3" t="s">
        <v>37</v>
      </c>
      <c r="F5" s="11" t="s">
        <v>16</v>
      </c>
      <c r="G5" s="11"/>
    </row>
    <row r="6" spans="1:7" ht="39.6" customHeight="1">
      <c r="A6" s="13" t="s">
        <v>64</v>
      </c>
      <c r="B6" s="6" t="s">
        <v>58</v>
      </c>
      <c r="C6" s="5" t="s">
        <v>65</v>
      </c>
      <c r="D6" s="13" t="s">
        <v>32</v>
      </c>
      <c r="E6" s="5" t="s">
        <v>66</v>
      </c>
      <c r="F6" s="13" t="s">
        <v>16</v>
      </c>
      <c r="G6" s="13"/>
    </row>
    <row r="7" spans="1:7" ht="39.6" customHeight="1">
      <c r="A7" s="14" t="s">
        <v>80</v>
      </c>
      <c r="B7" s="8" t="s">
        <v>74</v>
      </c>
      <c r="C7" s="7" t="s">
        <v>81</v>
      </c>
      <c r="D7" s="14" t="s">
        <v>14</v>
      </c>
      <c r="E7" s="7" t="s">
        <v>82</v>
      </c>
      <c r="F7" s="14" t="s">
        <v>16</v>
      </c>
      <c r="G7" s="14"/>
    </row>
    <row r="8" spans="1:7" ht="26.45" customHeight="1">
      <c r="A8" s="15" t="s">
        <v>96</v>
      </c>
      <c r="B8" s="10" t="s">
        <v>90</v>
      </c>
      <c r="C8" s="9" t="s">
        <v>97</v>
      </c>
      <c r="D8" s="15" t="s">
        <v>32</v>
      </c>
      <c r="E8" s="9" t="s">
        <v>98</v>
      </c>
      <c r="F8" s="15" t="s">
        <v>16</v>
      </c>
      <c r="G8" s="15"/>
    </row>
    <row r="10" spans="1:7" ht="22.5" customHeight="1">
      <c r="A10" s="1" t="s">
        <v>145</v>
      </c>
      <c r="B10" s="1" t="s">
        <v>141</v>
      </c>
      <c r="C10" s="1" t="s">
        <v>14</v>
      </c>
      <c r="D10" s="1" t="s">
        <v>32</v>
      </c>
      <c r="E10" s="1" t="s">
        <v>140</v>
      </c>
    </row>
    <row r="11" spans="1:7">
      <c r="A11" s="25" t="s">
        <v>36</v>
      </c>
      <c r="B11" s="34">
        <f>COUNTA(A5:A8)</f>
        <v>4</v>
      </c>
      <c r="C11" s="34">
        <f>COUNTIF(D5:D8,"P0")</f>
        <v>1</v>
      </c>
      <c r="D11" s="34">
        <f>COUNTIF(D5:D8,"P1")</f>
        <v>3</v>
      </c>
      <c r="E11" s="34">
        <f>COUNTIF(D5:D8,"P2")</f>
        <v>0</v>
      </c>
    </row>
  </sheetData>
  <mergeCells count="2">
    <mergeCell ref="A1:G1"/>
    <mergeCell ref="A2:G2"/>
  </mergeCells>
  <phoneticPr fontId="8" type="noConversion"/>
  <conditionalFormatting sqref="D5:D8">
    <cfRule type="containsText" dxfId="20" priority="1" operator="containsText" text="P0"/>
    <cfRule type="containsText" dxfId="19" priority="2" operator="containsText" text="P1"/>
    <cfRule type="containsText" dxfId="18" priority="3" operator="containsText" text="P2"/>
  </conditionalFormatting>
  <conditionalFormatting sqref="F5:F8">
    <cfRule type="containsText" dxfId="17" priority="4" operator="containsText" text="未开始"/>
    <cfRule type="containsText" dxfId="16" priority="5" operator="containsText" text="进行中"/>
    <cfRule type="containsText" dxfId="15" priority="6" operator="containsText" text="已完成"/>
    <cfRule type="containsText" dxfId="14" priority="7" operator="containsText" text="阻塞"/>
  </conditionalFormatting>
  <dataValidations count="2">
    <dataValidation type="list" sqref="D5:D8" xr:uid="{00000000-0002-0000-0400-000000000000}">
      <formula1>"P0,P1,P2"</formula1>
    </dataValidation>
    <dataValidation type="list" sqref="F5:F8" xr:uid="{00000000-0002-0000-0400-000001000000}">
      <formula1>"未开始,进行中,已完成,阻塞"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showGridLines="0" workbookViewId="0">
      <selection sqref="A1:G1"/>
    </sheetView>
  </sheetViews>
  <sheetFormatPr defaultRowHeight="14.25"/>
  <cols>
    <col min="1" max="1" width="10.25" customWidth="1"/>
    <col min="2" max="2" width="21.25" customWidth="1"/>
    <col min="3" max="3" width="37.5" customWidth="1"/>
    <col min="4" max="4" width="9" customWidth="1"/>
    <col min="5" max="5" width="62.5" customWidth="1"/>
    <col min="6" max="6" width="11" customWidth="1"/>
    <col min="7" max="7" width="12.5" customWidth="1"/>
  </cols>
  <sheetData>
    <row r="1" spans="1:7" ht="25.5" customHeight="1">
      <c r="A1" s="35" t="s">
        <v>150</v>
      </c>
      <c r="B1" s="35" t="s">
        <v>150</v>
      </c>
      <c r="C1" s="35" t="s">
        <v>150</v>
      </c>
      <c r="D1" s="35" t="s">
        <v>150</v>
      </c>
      <c r="E1" s="35" t="s">
        <v>150</v>
      </c>
      <c r="F1" s="35" t="s">
        <v>150</v>
      </c>
      <c r="G1" s="35" t="s">
        <v>150</v>
      </c>
    </row>
    <row r="2" spans="1:7" ht="18.75" customHeight="1">
      <c r="A2" s="46" t="s">
        <v>144</v>
      </c>
      <c r="B2" s="46" t="s">
        <v>144</v>
      </c>
      <c r="C2" s="46" t="s">
        <v>144</v>
      </c>
      <c r="D2" s="46" t="s">
        <v>144</v>
      </c>
      <c r="E2" s="46" t="s">
        <v>144</v>
      </c>
      <c r="F2" s="46" t="s">
        <v>144</v>
      </c>
      <c r="G2" s="46" t="s">
        <v>144</v>
      </c>
    </row>
    <row r="4" spans="1:7" ht="22.5" customHeight="1">
      <c r="A4" s="1" t="s">
        <v>2</v>
      </c>
      <c r="B4" s="1" t="s">
        <v>3</v>
      </c>
      <c r="C4" s="1" t="s">
        <v>4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39.6" customHeight="1">
      <c r="A5" s="11" t="s">
        <v>17</v>
      </c>
      <c r="B5" s="4" t="s">
        <v>11</v>
      </c>
      <c r="C5" s="3" t="s">
        <v>18</v>
      </c>
      <c r="D5" s="11" t="s">
        <v>14</v>
      </c>
      <c r="E5" s="3" t="s">
        <v>20</v>
      </c>
      <c r="F5" s="11" t="s">
        <v>16</v>
      </c>
      <c r="G5" s="11"/>
    </row>
    <row r="6" spans="1:7" ht="39.6" customHeight="1">
      <c r="A6" s="13" t="s">
        <v>38</v>
      </c>
      <c r="B6" s="6" t="s">
        <v>26</v>
      </c>
      <c r="C6" s="5" t="s">
        <v>39</v>
      </c>
      <c r="D6" s="13" t="s">
        <v>14</v>
      </c>
      <c r="E6" s="5" t="s">
        <v>40</v>
      </c>
      <c r="F6" s="13" t="s">
        <v>16</v>
      </c>
      <c r="G6" s="13"/>
    </row>
    <row r="7" spans="1:7" ht="39.6" customHeight="1">
      <c r="A7" s="14" t="s">
        <v>51</v>
      </c>
      <c r="B7" s="8" t="s">
        <v>45</v>
      </c>
      <c r="C7" s="7" t="s">
        <v>52</v>
      </c>
      <c r="D7" s="14" t="s">
        <v>14</v>
      </c>
      <c r="E7" s="7" t="s">
        <v>53</v>
      </c>
      <c r="F7" s="14" t="s">
        <v>16</v>
      </c>
      <c r="G7" s="14"/>
    </row>
    <row r="8" spans="1:7" ht="39.6" customHeight="1">
      <c r="A8" s="15" t="s">
        <v>67</v>
      </c>
      <c r="B8" s="10" t="s">
        <v>58</v>
      </c>
      <c r="C8" s="9" t="s">
        <v>68</v>
      </c>
      <c r="D8" s="15" t="s">
        <v>14</v>
      </c>
      <c r="E8" s="9" t="s">
        <v>69</v>
      </c>
      <c r="F8" s="15" t="s">
        <v>16</v>
      </c>
      <c r="G8" s="15"/>
    </row>
    <row r="9" spans="1:7" ht="39.6" customHeight="1">
      <c r="A9" s="11" t="s">
        <v>83</v>
      </c>
      <c r="B9" s="4" t="s">
        <v>74</v>
      </c>
      <c r="C9" s="3" t="s">
        <v>84</v>
      </c>
      <c r="D9" s="11" t="s">
        <v>14</v>
      </c>
      <c r="E9" s="3" t="s">
        <v>85</v>
      </c>
      <c r="F9" s="11" t="s">
        <v>16</v>
      </c>
      <c r="G9" s="11"/>
    </row>
    <row r="10" spans="1:7" ht="39.6" customHeight="1">
      <c r="A10" s="13" t="s">
        <v>99</v>
      </c>
      <c r="B10" s="6" t="s">
        <v>90</v>
      </c>
      <c r="C10" s="5" t="s">
        <v>100</v>
      </c>
      <c r="D10" s="13" t="s">
        <v>14</v>
      </c>
      <c r="E10" s="5" t="s">
        <v>101</v>
      </c>
      <c r="F10" s="13" t="s">
        <v>16</v>
      </c>
      <c r="G10" s="13"/>
    </row>
    <row r="11" spans="1:7" ht="39.6" customHeight="1">
      <c r="A11" s="14" t="s">
        <v>109</v>
      </c>
      <c r="B11" s="8" t="s">
        <v>106</v>
      </c>
      <c r="C11" s="7" t="s">
        <v>110</v>
      </c>
      <c r="D11" s="14" t="s">
        <v>14</v>
      </c>
      <c r="E11" s="7" t="s">
        <v>111</v>
      </c>
      <c r="F11" s="14" t="s">
        <v>16</v>
      </c>
      <c r="G11" s="14"/>
    </row>
    <row r="12" spans="1:7" ht="39.6" customHeight="1">
      <c r="A12" s="15" t="s">
        <v>122</v>
      </c>
      <c r="B12" s="10" t="s">
        <v>116</v>
      </c>
      <c r="C12" s="9" t="s">
        <v>123</v>
      </c>
      <c r="D12" s="15" t="s">
        <v>14</v>
      </c>
      <c r="E12" s="9" t="s">
        <v>124</v>
      </c>
      <c r="F12" s="15" t="s">
        <v>16</v>
      </c>
      <c r="G12" s="15"/>
    </row>
    <row r="13" spans="1:7" ht="39.6" customHeight="1">
      <c r="A13" s="11" t="s">
        <v>132</v>
      </c>
      <c r="B13" s="4" t="s">
        <v>129</v>
      </c>
      <c r="C13" s="3" t="s">
        <v>133</v>
      </c>
      <c r="D13" s="11" t="s">
        <v>14</v>
      </c>
      <c r="E13" s="3" t="s">
        <v>134</v>
      </c>
      <c r="F13" s="11" t="s">
        <v>16</v>
      </c>
      <c r="G13" s="11"/>
    </row>
    <row r="15" spans="1:7" ht="22.5" customHeight="1">
      <c r="A15" s="1" t="s">
        <v>145</v>
      </c>
      <c r="B15" s="1" t="s">
        <v>141</v>
      </c>
      <c r="C15" s="1" t="s">
        <v>14</v>
      </c>
      <c r="D15" s="1" t="s">
        <v>32</v>
      </c>
      <c r="E15" s="1" t="s">
        <v>140</v>
      </c>
    </row>
    <row r="16" spans="1:7">
      <c r="A16" s="26" t="s">
        <v>19</v>
      </c>
      <c r="B16" s="34">
        <f>COUNTA(A5:A13)</f>
        <v>9</v>
      </c>
      <c r="C16" s="34">
        <f>COUNTIF(D5:D13,"P0")</f>
        <v>9</v>
      </c>
      <c r="D16" s="34">
        <f>COUNTIF(D5:D13,"P1")</f>
        <v>0</v>
      </c>
      <c r="E16" s="34">
        <f>COUNTIF(D5:D13,"P2")</f>
        <v>0</v>
      </c>
    </row>
  </sheetData>
  <mergeCells count="2">
    <mergeCell ref="A1:G1"/>
    <mergeCell ref="A2:G2"/>
  </mergeCells>
  <phoneticPr fontId="8" type="noConversion"/>
  <conditionalFormatting sqref="D5:D13">
    <cfRule type="containsText" dxfId="13" priority="1" operator="containsText" text="P0"/>
    <cfRule type="containsText" dxfId="12" priority="2" operator="containsText" text="P1"/>
    <cfRule type="containsText" dxfId="11" priority="3" operator="containsText" text="P2"/>
  </conditionalFormatting>
  <conditionalFormatting sqref="F5:F13">
    <cfRule type="containsText" dxfId="10" priority="4" operator="containsText" text="未开始"/>
    <cfRule type="containsText" dxfId="9" priority="5" operator="containsText" text="进行中"/>
    <cfRule type="containsText" dxfId="8" priority="6" operator="containsText" text="已完成"/>
    <cfRule type="containsText" dxfId="7" priority="7" operator="containsText" text="阻塞"/>
  </conditionalFormatting>
  <dataValidations count="2">
    <dataValidation type="list" sqref="D5:D13" xr:uid="{00000000-0002-0000-0500-000000000000}">
      <formula1>"P0,P1,P2"</formula1>
    </dataValidation>
    <dataValidation type="list" sqref="F5:F13" xr:uid="{00000000-0002-0000-0500-000001000000}">
      <formula1>"未开始,进行中,已完成,阻塞"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showGridLines="0" topLeftCell="A5" workbookViewId="0">
      <selection activeCell="B4" sqref="B4:E13"/>
    </sheetView>
  </sheetViews>
  <sheetFormatPr defaultRowHeight="14.25"/>
  <cols>
    <col min="1" max="1" width="10.25" customWidth="1"/>
    <col min="2" max="2" width="21.25" customWidth="1"/>
    <col min="3" max="3" width="37.5" customWidth="1"/>
    <col min="4" max="4" width="9" customWidth="1"/>
    <col min="5" max="5" width="62.5" customWidth="1"/>
    <col min="6" max="6" width="11" customWidth="1"/>
    <col min="7" max="7" width="12.5" customWidth="1"/>
  </cols>
  <sheetData>
    <row r="1" spans="1:7" ht="25.5" customHeight="1">
      <c r="A1" s="35" t="s">
        <v>151</v>
      </c>
      <c r="B1" s="35" t="s">
        <v>151</v>
      </c>
      <c r="C1" s="35" t="s">
        <v>151</v>
      </c>
      <c r="D1" s="35" t="s">
        <v>151</v>
      </c>
      <c r="E1" s="35" t="s">
        <v>151</v>
      </c>
      <c r="F1" s="35" t="s">
        <v>151</v>
      </c>
      <c r="G1" s="35" t="s">
        <v>151</v>
      </c>
    </row>
    <row r="2" spans="1:7" ht="18.75" customHeight="1">
      <c r="A2" s="47" t="s">
        <v>144</v>
      </c>
      <c r="B2" s="47" t="s">
        <v>144</v>
      </c>
      <c r="C2" s="47" t="s">
        <v>144</v>
      </c>
      <c r="D2" s="47" t="s">
        <v>144</v>
      </c>
      <c r="E2" s="47" t="s">
        <v>144</v>
      </c>
      <c r="F2" s="47" t="s">
        <v>144</v>
      </c>
      <c r="G2" s="47" t="s">
        <v>144</v>
      </c>
    </row>
    <row r="4" spans="1:7" ht="22.5" customHeight="1">
      <c r="A4" s="1" t="s">
        <v>2</v>
      </c>
      <c r="B4" s="1" t="s">
        <v>3</v>
      </c>
      <c r="C4" s="1" t="s">
        <v>4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39.6" customHeight="1">
      <c r="A5" s="11" t="s">
        <v>21</v>
      </c>
      <c r="B5" s="4" t="s">
        <v>11</v>
      </c>
      <c r="C5" s="3" t="s">
        <v>22</v>
      </c>
      <c r="D5" s="11" t="s">
        <v>14</v>
      </c>
      <c r="E5" s="3" t="s">
        <v>24</v>
      </c>
      <c r="F5" s="11" t="s">
        <v>16</v>
      </c>
      <c r="G5" s="11"/>
    </row>
    <row r="6" spans="1:7" ht="39.6" customHeight="1">
      <c r="A6" s="13" t="s">
        <v>41</v>
      </c>
      <c r="B6" s="6" t="s">
        <v>26</v>
      </c>
      <c r="C6" s="5" t="s">
        <v>42</v>
      </c>
      <c r="D6" s="13" t="s">
        <v>14</v>
      </c>
      <c r="E6" s="5" t="s">
        <v>43</v>
      </c>
      <c r="F6" s="13" t="s">
        <v>16</v>
      </c>
      <c r="G6" s="13"/>
    </row>
    <row r="7" spans="1:7" ht="39.6" customHeight="1">
      <c r="A7" s="14" t="s">
        <v>54</v>
      </c>
      <c r="B7" s="8" t="s">
        <v>45</v>
      </c>
      <c r="C7" s="7" t="s">
        <v>55</v>
      </c>
      <c r="D7" s="14" t="s">
        <v>14</v>
      </c>
      <c r="E7" s="7" t="s">
        <v>56</v>
      </c>
      <c r="F7" s="14" t="s">
        <v>16</v>
      </c>
      <c r="G7" s="14"/>
    </row>
    <row r="8" spans="1:7" ht="39.6" customHeight="1">
      <c r="A8" s="15" t="s">
        <v>70</v>
      </c>
      <c r="B8" s="10" t="s">
        <v>58</v>
      </c>
      <c r="C8" s="9" t="s">
        <v>71</v>
      </c>
      <c r="D8" s="15" t="s">
        <v>14</v>
      </c>
      <c r="E8" s="9" t="s">
        <v>72</v>
      </c>
      <c r="F8" s="15" t="s">
        <v>16</v>
      </c>
      <c r="G8" s="15"/>
    </row>
    <row r="9" spans="1:7" ht="39.6" customHeight="1">
      <c r="A9" s="11" t="s">
        <v>86</v>
      </c>
      <c r="B9" s="4" t="s">
        <v>74</v>
      </c>
      <c r="C9" s="3" t="s">
        <v>87</v>
      </c>
      <c r="D9" s="11" t="s">
        <v>14</v>
      </c>
      <c r="E9" s="3" t="s">
        <v>88</v>
      </c>
      <c r="F9" s="11" t="s">
        <v>16</v>
      </c>
      <c r="G9" s="11"/>
    </row>
    <row r="10" spans="1:7" ht="39.6" customHeight="1">
      <c r="A10" s="13" t="s">
        <v>102</v>
      </c>
      <c r="B10" s="6" t="s">
        <v>90</v>
      </c>
      <c r="C10" s="5" t="s">
        <v>103</v>
      </c>
      <c r="D10" s="13" t="s">
        <v>14</v>
      </c>
      <c r="E10" s="5" t="s">
        <v>104</v>
      </c>
      <c r="F10" s="13" t="s">
        <v>16</v>
      </c>
      <c r="G10" s="13"/>
    </row>
    <row r="11" spans="1:7" ht="39.6" customHeight="1">
      <c r="A11" s="14" t="s">
        <v>112</v>
      </c>
      <c r="B11" s="8" t="s">
        <v>106</v>
      </c>
      <c r="C11" s="7" t="s">
        <v>113</v>
      </c>
      <c r="D11" s="14" t="s">
        <v>14</v>
      </c>
      <c r="E11" s="7" t="s">
        <v>114</v>
      </c>
      <c r="F11" s="14" t="s">
        <v>16</v>
      </c>
      <c r="G11" s="14"/>
    </row>
    <row r="12" spans="1:7" ht="39.6" customHeight="1">
      <c r="A12" s="15" t="s">
        <v>125</v>
      </c>
      <c r="B12" s="10" t="s">
        <v>116</v>
      </c>
      <c r="C12" s="9" t="s">
        <v>126</v>
      </c>
      <c r="D12" s="15" t="s">
        <v>14</v>
      </c>
      <c r="E12" s="9" t="s">
        <v>127</v>
      </c>
      <c r="F12" s="15" t="s">
        <v>16</v>
      </c>
      <c r="G12" s="15"/>
    </row>
    <row r="13" spans="1:7" ht="52.7" customHeight="1">
      <c r="A13" s="11" t="s">
        <v>135</v>
      </c>
      <c r="B13" s="4" t="s">
        <v>129</v>
      </c>
      <c r="C13" s="3" t="s">
        <v>136</v>
      </c>
      <c r="D13" s="11" t="s">
        <v>14</v>
      </c>
      <c r="E13" s="3" t="s">
        <v>137</v>
      </c>
      <c r="F13" s="11" t="s">
        <v>16</v>
      </c>
      <c r="G13" s="11"/>
    </row>
    <row r="15" spans="1:7" ht="22.5" customHeight="1">
      <c r="A15" s="1" t="s">
        <v>145</v>
      </c>
      <c r="B15" s="1" t="s">
        <v>141</v>
      </c>
      <c r="C15" s="1" t="s">
        <v>14</v>
      </c>
      <c r="D15" s="1" t="s">
        <v>32</v>
      </c>
      <c r="E15" s="1" t="s">
        <v>140</v>
      </c>
    </row>
    <row r="16" spans="1:7">
      <c r="A16" s="27" t="s">
        <v>23</v>
      </c>
      <c r="B16" s="34">
        <f>COUNTA(A5:A13)</f>
        <v>9</v>
      </c>
      <c r="C16" s="34">
        <f>COUNTIF(D5:D13,"P0")</f>
        <v>9</v>
      </c>
      <c r="D16" s="34">
        <f>COUNTIF(D5:D13,"P1")</f>
        <v>0</v>
      </c>
      <c r="E16" s="34">
        <f>COUNTIF(D5:D13,"P2")</f>
        <v>0</v>
      </c>
    </row>
  </sheetData>
  <mergeCells count="2">
    <mergeCell ref="A1:G1"/>
    <mergeCell ref="A2:G2"/>
  </mergeCells>
  <phoneticPr fontId="8" type="noConversion"/>
  <conditionalFormatting sqref="D5:D13">
    <cfRule type="containsText" dxfId="6" priority="1" operator="containsText" text="P0"/>
    <cfRule type="containsText" dxfId="5" priority="2" operator="containsText" text="P1"/>
    <cfRule type="containsText" dxfId="4" priority="3" operator="containsText" text="P2"/>
  </conditionalFormatting>
  <conditionalFormatting sqref="F5:F13">
    <cfRule type="containsText" dxfId="3" priority="4" operator="containsText" text="未开始"/>
    <cfRule type="containsText" dxfId="2" priority="5" operator="containsText" text="进行中"/>
    <cfRule type="containsText" dxfId="1" priority="6" operator="containsText" text="已完成"/>
    <cfRule type="containsText" dxfId="0" priority="7" operator="containsText" text="阻塞"/>
  </conditionalFormatting>
  <dataValidations count="2">
    <dataValidation type="list" sqref="D5:D13" xr:uid="{00000000-0002-0000-0600-000000000000}">
      <formula1>"P0,P1,P2"</formula1>
    </dataValidation>
    <dataValidation type="list" sqref="F5:F13" xr:uid="{00000000-0002-0000-0600-000001000000}">
      <formula1>"未开始,进行中,已完成,阻塞"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总表</vt:lpstr>
      <vt:lpstr>统计总览</vt:lpstr>
      <vt:lpstr>数值策划</vt:lpstr>
      <vt:lpstr>UI</vt:lpstr>
      <vt:lpstr>原画&amp;3D</vt:lpstr>
      <vt:lpstr>客户端</vt:lpstr>
      <vt:lpstr>服务器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蒋镇宇</cp:lastModifiedBy>
  <dcterms:modified xsi:type="dcterms:W3CDTF">2026-07-15T08:36:59Z</dcterms:modified>
</cp:coreProperties>
</file>